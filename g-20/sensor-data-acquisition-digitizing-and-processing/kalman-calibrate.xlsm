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ha2\Downloads\Github\sensor-data-acquisition-digitizing-and-processing\"/>
    </mc:Choice>
  </mc:AlternateContent>
  <bookViews>
    <workbookView xWindow="0" yWindow="0" windowWidth="15750" windowHeight="21435" tabRatio="695" activeTab="1"/>
  </bookViews>
  <sheets>
    <sheet name="Zaleski_John_3049080_0325201416" sheetId="1" r:id="rId1"/>
    <sheet name="KalmanFilter" sheetId="4" r:id="rId2"/>
  </sheets>
  <calcPr calcId="152511"/>
</workbook>
</file>

<file path=xl/calcChain.xml><?xml version="1.0" encoding="utf-8"?>
<calcChain xmlns="http://schemas.openxmlformats.org/spreadsheetml/2006/main">
  <c r="J5" i="4" l="1"/>
  <c r="A10" i="4" l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4" i="4"/>
  <c r="A5" i="4" s="1"/>
  <c r="A6" i="4" s="1"/>
  <c r="A7" i="4" s="1"/>
  <c r="A8" i="4" s="1"/>
  <c r="A9" i="4" s="1"/>
  <c r="A3" i="4"/>
  <c r="C2" i="4" l="1"/>
  <c r="D2" i="4"/>
  <c r="H3" i="4" l="1"/>
  <c r="G3" i="4"/>
  <c r="H2" i="4"/>
  <c r="G2" i="4"/>
  <c r="I2" i="4" s="1"/>
  <c r="C3" i="4" l="1"/>
  <c r="I3" i="4" s="1"/>
  <c r="E3" i="4" l="1"/>
  <c r="F3" i="4"/>
  <c r="H4" i="4" s="1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D3" i="4" l="1"/>
  <c r="C4" i="4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D4" i="4" l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G4" i="4"/>
  <c r="I4" i="4" s="1"/>
  <c r="E4" i="4" l="1"/>
  <c r="G5" i="4" s="1"/>
  <c r="I5" i="4" s="1"/>
  <c r="E5" i="4" s="1"/>
  <c r="G6" i="4" s="1"/>
  <c r="I6" i="4" s="1"/>
  <c r="E6" i="4" s="1"/>
  <c r="G7" i="4" s="1"/>
  <c r="I7" i="4" s="1"/>
  <c r="E7" i="4" s="1"/>
  <c r="G8" i="4" s="1"/>
  <c r="I8" i="4" s="1"/>
  <c r="E8" i="4" s="1"/>
  <c r="G9" i="4" s="1"/>
  <c r="I9" i="4" s="1"/>
  <c r="E9" i="4" s="1"/>
  <c r="G10" i="4" s="1"/>
  <c r="I10" i="4" s="1"/>
  <c r="E10" i="4" s="1"/>
  <c r="G11" i="4" s="1"/>
  <c r="I11" i="4" s="1"/>
  <c r="E11" i="4" s="1"/>
  <c r="G12" i="4" s="1"/>
  <c r="I12" i="4" s="1"/>
  <c r="E12" i="4" s="1"/>
  <c r="G13" i="4" s="1"/>
  <c r="I13" i="4" s="1"/>
  <c r="E13" i="4" s="1"/>
  <c r="G14" i="4" s="1"/>
  <c r="I14" i="4" s="1"/>
  <c r="E14" i="4" s="1"/>
  <c r="G15" i="4" s="1"/>
  <c r="I15" i="4" s="1"/>
  <c r="E15" i="4" s="1"/>
  <c r="G16" i="4" s="1"/>
  <c r="I16" i="4" s="1"/>
  <c r="E16" i="4" s="1"/>
  <c r="G17" i="4" s="1"/>
  <c r="I17" i="4" s="1"/>
  <c r="E17" i="4" s="1"/>
  <c r="G18" i="4" s="1"/>
  <c r="I18" i="4" s="1"/>
  <c r="E18" i="4" s="1"/>
  <c r="G19" i="4" s="1"/>
  <c r="I19" i="4" s="1"/>
  <c r="E19" i="4" s="1"/>
  <c r="G20" i="4" s="1"/>
  <c r="I20" i="4" s="1"/>
  <c r="E20" i="4" s="1"/>
  <c r="G21" i="4" s="1"/>
  <c r="I21" i="4" s="1"/>
  <c r="E21" i="4" s="1"/>
  <c r="G22" i="4" s="1"/>
  <c r="I22" i="4" s="1"/>
  <c r="E22" i="4" s="1"/>
  <c r="G23" i="4" s="1"/>
  <c r="I23" i="4" s="1"/>
  <c r="E23" i="4" s="1"/>
  <c r="G24" i="4" s="1"/>
  <c r="I24" i="4" s="1"/>
  <c r="E24" i="4" s="1"/>
  <c r="G25" i="4" s="1"/>
  <c r="I25" i="4" s="1"/>
  <c r="E25" i="4" s="1"/>
  <c r="G26" i="4" s="1"/>
  <c r="I26" i="4" s="1"/>
  <c r="E26" i="4" s="1"/>
  <c r="G27" i="4" s="1"/>
  <c r="I27" i="4" s="1"/>
  <c r="E27" i="4" s="1"/>
  <c r="G28" i="4" s="1"/>
  <c r="I28" i="4" s="1"/>
  <c r="E28" i="4" s="1"/>
  <c r="G29" i="4" s="1"/>
  <c r="I29" i="4" s="1"/>
  <c r="E29" i="4" s="1"/>
  <c r="G30" i="4" s="1"/>
  <c r="I30" i="4" s="1"/>
  <c r="E30" i="4" s="1"/>
  <c r="G31" i="4" s="1"/>
  <c r="I31" i="4" s="1"/>
  <c r="E31" i="4" s="1"/>
  <c r="G32" i="4" s="1"/>
  <c r="I32" i="4" s="1"/>
  <c r="E32" i="4" s="1"/>
  <c r="G33" i="4" s="1"/>
  <c r="I33" i="4" s="1"/>
  <c r="E33" i="4" s="1"/>
  <c r="G34" i="4" s="1"/>
  <c r="I34" i="4" s="1"/>
  <c r="E34" i="4" s="1"/>
  <c r="G35" i="4" s="1"/>
  <c r="I35" i="4" s="1"/>
  <c r="E35" i="4" s="1"/>
  <c r="G36" i="4" s="1"/>
  <c r="I36" i="4" s="1"/>
  <c r="E36" i="4" s="1"/>
  <c r="G37" i="4" s="1"/>
  <c r="I37" i="4" s="1"/>
  <c r="E37" i="4" s="1"/>
  <c r="G38" i="4" s="1"/>
  <c r="I38" i="4" s="1"/>
  <c r="E38" i="4" s="1"/>
  <c r="G39" i="4" s="1"/>
  <c r="I39" i="4" s="1"/>
  <c r="E39" i="4" s="1"/>
  <c r="G40" i="4" s="1"/>
  <c r="I40" i="4" s="1"/>
  <c r="E40" i="4" s="1"/>
  <c r="G41" i="4" s="1"/>
  <c r="I41" i="4" s="1"/>
  <c r="E41" i="4" s="1"/>
  <c r="G42" i="4" s="1"/>
  <c r="I42" i="4" s="1"/>
  <c r="E42" i="4" s="1"/>
  <c r="G43" i="4" s="1"/>
  <c r="I43" i="4" s="1"/>
  <c r="E43" i="4" s="1"/>
  <c r="G44" i="4" s="1"/>
  <c r="I44" i="4" s="1"/>
  <c r="E44" i="4" s="1"/>
  <c r="G45" i="4" s="1"/>
  <c r="I45" i="4" s="1"/>
  <c r="E45" i="4" s="1"/>
  <c r="G46" i="4" s="1"/>
  <c r="I46" i="4" s="1"/>
  <c r="E46" i="4" s="1"/>
  <c r="G47" i="4" s="1"/>
  <c r="I47" i="4" s="1"/>
  <c r="E47" i="4" s="1"/>
  <c r="G48" i="4" s="1"/>
  <c r="I48" i="4" s="1"/>
  <c r="E48" i="4" s="1"/>
  <c r="G49" i="4" s="1"/>
  <c r="I49" i="4" s="1"/>
  <c r="E49" i="4" s="1"/>
  <c r="G50" i="4" s="1"/>
  <c r="I50" i="4" s="1"/>
  <c r="E50" i="4" s="1"/>
  <c r="G51" i="4" s="1"/>
  <c r="I51" i="4" s="1"/>
  <c r="E51" i="4" s="1"/>
  <c r="G52" i="4" s="1"/>
  <c r="I52" i="4" s="1"/>
  <c r="E52" i="4" s="1"/>
  <c r="G53" i="4" s="1"/>
  <c r="I53" i="4" s="1"/>
  <c r="E53" i="4" s="1"/>
  <c r="G54" i="4" s="1"/>
  <c r="I54" i="4" s="1"/>
  <c r="E54" i="4" s="1"/>
  <c r="G55" i="4" s="1"/>
  <c r="I55" i="4" s="1"/>
  <c r="E55" i="4" s="1"/>
  <c r="G56" i="4" s="1"/>
  <c r="I56" i="4" s="1"/>
  <c r="E56" i="4" s="1"/>
  <c r="G57" i="4" s="1"/>
  <c r="I57" i="4" s="1"/>
  <c r="E57" i="4" s="1"/>
  <c r="G58" i="4" s="1"/>
  <c r="I58" i="4" s="1"/>
  <c r="E58" i="4" s="1"/>
  <c r="G59" i="4" s="1"/>
  <c r="I59" i="4" s="1"/>
  <c r="E59" i="4" s="1"/>
  <c r="G60" i="4" s="1"/>
  <c r="I60" i="4" s="1"/>
  <c r="E60" i="4" s="1"/>
  <c r="G61" i="4" s="1"/>
  <c r="I61" i="4" s="1"/>
  <c r="E61" i="4" s="1"/>
  <c r="G62" i="4" s="1"/>
  <c r="I62" i="4" s="1"/>
  <c r="E62" i="4" s="1"/>
  <c r="G63" i="4" s="1"/>
  <c r="I63" i="4" s="1"/>
  <c r="E63" i="4" s="1"/>
  <c r="G64" i="4" s="1"/>
  <c r="I64" i="4" s="1"/>
  <c r="E64" i="4" s="1"/>
  <c r="G65" i="4" s="1"/>
  <c r="I65" i="4" s="1"/>
  <c r="E65" i="4" s="1"/>
  <c r="G66" i="4" s="1"/>
  <c r="I66" i="4" s="1"/>
  <c r="E66" i="4" s="1"/>
  <c r="G67" i="4" s="1"/>
  <c r="I67" i="4" s="1"/>
  <c r="E67" i="4" s="1"/>
  <c r="G68" i="4" s="1"/>
  <c r="I68" i="4" s="1"/>
  <c r="E68" i="4" s="1"/>
  <c r="G69" i="4" s="1"/>
  <c r="I69" i="4" s="1"/>
  <c r="E69" i="4" s="1"/>
  <c r="G70" i="4" s="1"/>
  <c r="I70" i="4" s="1"/>
  <c r="E70" i="4" s="1"/>
  <c r="G71" i="4" s="1"/>
  <c r="I71" i="4" s="1"/>
  <c r="E71" i="4" s="1"/>
  <c r="G72" i="4" s="1"/>
  <c r="I72" i="4" s="1"/>
  <c r="E72" i="4" s="1"/>
  <c r="G73" i="4" s="1"/>
  <c r="I73" i="4" s="1"/>
  <c r="E73" i="4" s="1"/>
  <c r="G74" i="4" s="1"/>
  <c r="I74" i="4" s="1"/>
  <c r="E74" i="4" s="1"/>
  <c r="G75" i="4" s="1"/>
  <c r="I75" i="4" s="1"/>
  <c r="E75" i="4" s="1"/>
  <c r="G76" i="4" s="1"/>
  <c r="I76" i="4" s="1"/>
  <c r="E76" i="4" s="1"/>
  <c r="G77" i="4" s="1"/>
  <c r="I77" i="4" s="1"/>
  <c r="E77" i="4" s="1"/>
  <c r="G78" i="4" s="1"/>
  <c r="I78" i="4" s="1"/>
  <c r="E78" i="4" s="1"/>
  <c r="G79" i="4" s="1"/>
  <c r="I79" i="4" s="1"/>
  <c r="E79" i="4" s="1"/>
  <c r="G80" i="4" s="1"/>
  <c r="I80" i="4" s="1"/>
  <c r="E80" i="4" s="1"/>
  <c r="G81" i="4" s="1"/>
  <c r="I81" i="4" s="1"/>
  <c r="E81" i="4" s="1"/>
  <c r="G82" i="4" s="1"/>
  <c r="I82" i="4" s="1"/>
  <c r="E82" i="4" s="1"/>
  <c r="G83" i="4" s="1"/>
  <c r="I83" i="4" s="1"/>
  <c r="E83" i="4" s="1"/>
  <c r="G84" i="4" s="1"/>
  <c r="I84" i="4" s="1"/>
  <c r="E84" i="4" s="1"/>
  <c r="G85" i="4" s="1"/>
  <c r="I85" i="4" s="1"/>
  <c r="E85" i="4" s="1"/>
  <c r="G86" i="4" s="1"/>
  <c r="I86" i="4" s="1"/>
  <c r="E86" i="4" s="1"/>
  <c r="G87" i="4" s="1"/>
  <c r="I87" i="4" s="1"/>
  <c r="E87" i="4" s="1"/>
  <c r="G88" i="4" s="1"/>
  <c r="I88" i="4" s="1"/>
  <c r="E88" i="4" s="1"/>
  <c r="G89" i="4" s="1"/>
  <c r="I89" i="4" s="1"/>
  <c r="E89" i="4" s="1"/>
  <c r="G90" i="4" s="1"/>
  <c r="I90" i="4" s="1"/>
  <c r="E90" i="4" s="1"/>
  <c r="G91" i="4" s="1"/>
  <c r="I91" i="4" s="1"/>
  <c r="E91" i="4" s="1"/>
  <c r="G92" i="4" s="1"/>
  <c r="I92" i="4" s="1"/>
  <c r="E92" i="4" s="1"/>
  <c r="G93" i="4" s="1"/>
  <c r="I93" i="4" s="1"/>
  <c r="E93" i="4" s="1"/>
  <c r="G94" i="4" s="1"/>
  <c r="I94" i="4" s="1"/>
  <c r="E94" i="4" s="1"/>
  <c r="G95" i="4" s="1"/>
  <c r="I95" i="4" s="1"/>
  <c r="E95" i="4" s="1"/>
  <c r="G96" i="4" s="1"/>
  <c r="I96" i="4" s="1"/>
  <c r="E96" i="4" s="1"/>
  <c r="G97" i="4" s="1"/>
  <c r="I97" i="4" s="1"/>
  <c r="E97" i="4" s="1"/>
  <c r="G98" i="4" s="1"/>
  <c r="I98" i="4" s="1"/>
  <c r="E98" i="4" s="1"/>
  <c r="G99" i="4" s="1"/>
  <c r="I99" i="4" s="1"/>
  <c r="E99" i="4" s="1"/>
  <c r="G100" i="4" s="1"/>
  <c r="I100" i="4" s="1"/>
  <c r="E100" i="4" s="1"/>
  <c r="G101" i="4" s="1"/>
  <c r="I101" i="4" s="1"/>
  <c r="E101" i="4" s="1"/>
  <c r="G102" i="4" s="1"/>
  <c r="I102" i="4" s="1"/>
  <c r="E102" i="4" s="1"/>
  <c r="G103" i="4" s="1"/>
  <c r="I103" i="4" s="1"/>
  <c r="E103" i="4" s="1"/>
  <c r="G104" i="4" s="1"/>
  <c r="I104" i="4" s="1"/>
  <c r="E104" i="4" s="1"/>
  <c r="G105" i="4" s="1"/>
  <c r="I105" i="4" s="1"/>
  <c r="E105" i="4" s="1"/>
  <c r="G106" i="4" s="1"/>
  <c r="I106" i="4" s="1"/>
  <c r="E106" i="4" s="1"/>
  <c r="G107" i="4" s="1"/>
  <c r="I107" i="4" s="1"/>
  <c r="E107" i="4" s="1"/>
  <c r="G108" i="4" s="1"/>
  <c r="I108" i="4" s="1"/>
  <c r="E108" i="4" s="1"/>
  <c r="G109" i="4" s="1"/>
  <c r="I109" i="4" s="1"/>
  <c r="E109" i="4" s="1"/>
  <c r="G110" i="4" s="1"/>
  <c r="I110" i="4" s="1"/>
  <c r="E110" i="4" s="1"/>
  <c r="G111" i="4" s="1"/>
  <c r="I111" i="4" s="1"/>
  <c r="E111" i="4" s="1"/>
  <c r="G112" i="4" s="1"/>
  <c r="I112" i="4" s="1"/>
  <c r="E112" i="4" s="1"/>
  <c r="G113" i="4" s="1"/>
  <c r="I113" i="4" s="1"/>
  <c r="E113" i="4" s="1"/>
  <c r="G114" i="4" s="1"/>
  <c r="I114" i="4" s="1"/>
  <c r="E114" i="4" s="1"/>
  <c r="G115" i="4" s="1"/>
  <c r="I115" i="4" s="1"/>
  <c r="E115" i="4" s="1"/>
  <c r="G116" i="4" s="1"/>
  <c r="I116" i="4" s="1"/>
  <c r="E116" i="4" s="1"/>
  <c r="G117" i="4" s="1"/>
  <c r="I117" i="4" s="1"/>
  <c r="E117" i="4" s="1"/>
  <c r="G118" i="4" s="1"/>
  <c r="I118" i="4" s="1"/>
  <c r="E118" i="4" s="1"/>
  <c r="G119" i="4" s="1"/>
  <c r="I119" i="4" s="1"/>
  <c r="E119" i="4" s="1"/>
  <c r="G120" i="4" s="1"/>
  <c r="I120" i="4" s="1"/>
  <c r="E120" i="4" s="1"/>
  <c r="G121" i="4" s="1"/>
  <c r="I121" i="4" s="1"/>
  <c r="E121" i="4" s="1"/>
  <c r="G122" i="4" s="1"/>
  <c r="I122" i="4" s="1"/>
  <c r="E122" i="4" s="1"/>
  <c r="G123" i="4" s="1"/>
  <c r="I123" i="4" s="1"/>
  <c r="E123" i="4" s="1"/>
  <c r="G124" i="4" s="1"/>
  <c r="I124" i="4" s="1"/>
  <c r="E124" i="4" s="1"/>
  <c r="G125" i="4" s="1"/>
  <c r="I125" i="4" s="1"/>
  <c r="E125" i="4" s="1"/>
  <c r="G126" i="4" s="1"/>
  <c r="I126" i="4" s="1"/>
  <c r="E126" i="4" s="1"/>
  <c r="G127" i="4" s="1"/>
  <c r="I127" i="4" s="1"/>
  <c r="E127" i="4" s="1"/>
  <c r="G128" i="4" s="1"/>
  <c r="I128" i="4" s="1"/>
  <c r="E128" i="4" s="1"/>
  <c r="G129" i="4" s="1"/>
  <c r="I129" i="4" s="1"/>
  <c r="E129" i="4" s="1"/>
  <c r="G130" i="4" s="1"/>
  <c r="I130" i="4" s="1"/>
  <c r="E130" i="4" s="1"/>
  <c r="G131" i="4" s="1"/>
  <c r="I131" i="4" s="1"/>
  <c r="E131" i="4" s="1"/>
  <c r="G132" i="4" s="1"/>
  <c r="I132" i="4" s="1"/>
  <c r="E132" i="4" s="1"/>
  <c r="G133" i="4" s="1"/>
  <c r="I133" i="4" s="1"/>
  <c r="E133" i="4" s="1"/>
  <c r="G134" i="4" s="1"/>
  <c r="I134" i="4" s="1"/>
  <c r="E134" i="4" s="1"/>
  <c r="G135" i="4" s="1"/>
  <c r="I135" i="4" s="1"/>
  <c r="E135" i="4" s="1"/>
  <c r="G136" i="4" s="1"/>
  <c r="I136" i="4" s="1"/>
  <c r="E136" i="4" s="1"/>
  <c r="G137" i="4" s="1"/>
  <c r="I137" i="4" s="1"/>
  <c r="E137" i="4" s="1"/>
  <c r="G138" i="4" s="1"/>
  <c r="I138" i="4" s="1"/>
  <c r="E138" i="4" s="1"/>
  <c r="G139" i="4" s="1"/>
  <c r="I139" i="4" s="1"/>
  <c r="E139" i="4" s="1"/>
  <c r="G140" i="4" s="1"/>
  <c r="I140" i="4" s="1"/>
  <c r="E140" i="4" s="1"/>
  <c r="G141" i="4" s="1"/>
  <c r="I141" i="4" s="1"/>
  <c r="E141" i="4" s="1"/>
  <c r="G142" i="4" s="1"/>
  <c r="I142" i="4" s="1"/>
  <c r="E142" i="4" s="1"/>
  <c r="G143" i="4" s="1"/>
  <c r="I143" i="4" s="1"/>
  <c r="E143" i="4" s="1"/>
  <c r="G144" i="4" s="1"/>
  <c r="I144" i="4" s="1"/>
  <c r="E144" i="4" s="1"/>
  <c r="G145" i="4" s="1"/>
  <c r="I145" i="4" s="1"/>
  <c r="E145" i="4" s="1"/>
  <c r="G146" i="4" s="1"/>
  <c r="I146" i="4" s="1"/>
  <c r="E146" i="4" s="1"/>
  <c r="G147" i="4" s="1"/>
  <c r="I147" i="4" s="1"/>
  <c r="E147" i="4" s="1"/>
  <c r="G148" i="4" s="1"/>
  <c r="I148" i="4" s="1"/>
  <c r="E148" i="4" s="1"/>
  <c r="G149" i="4" s="1"/>
  <c r="I149" i="4" s="1"/>
  <c r="E149" i="4" s="1"/>
  <c r="G150" i="4" s="1"/>
  <c r="I150" i="4" s="1"/>
  <c r="E150" i="4" s="1"/>
  <c r="G151" i="4" s="1"/>
  <c r="I151" i="4" s="1"/>
  <c r="E151" i="4" s="1"/>
  <c r="G152" i="4" s="1"/>
  <c r="I152" i="4" s="1"/>
  <c r="E152" i="4" s="1"/>
  <c r="G153" i="4" s="1"/>
  <c r="I153" i="4" s="1"/>
  <c r="E153" i="4" s="1"/>
  <c r="G154" i="4" s="1"/>
  <c r="I154" i="4" s="1"/>
  <c r="E154" i="4" s="1"/>
  <c r="G155" i="4" s="1"/>
  <c r="I155" i="4" s="1"/>
  <c r="E155" i="4" s="1"/>
  <c r="G156" i="4" s="1"/>
  <c r="I156" i="4" s="1"/>
  <c r="E156" i="4" s="1"/>
  <c r="G157" i="4" s="1"/>
  <c r="I157" i="4" s="1"/>
  <c r="E157" i="4" s="1"/>
  <c r="G158" i="4" s="1"/>
  <c r="I158" i="4" s="1"/>
  <c r="E158" i="4" s="1"/>
  <c r="G159" i="4" s="1"/>
  <c r="I159" i="4" s="1"/>
  <c r="E159" i="4" s="1"/>
  <c r="G160" i="4" s="1"/>
  <c r="I160" i="4" s="1"/>
  <c r="E160" i="4" s="1"/>
  <c r="G161" i="4" s="1"/>
  <c r="I161" i="4" s="1"/>
  <c r="E161" i="4" s="1"/>
  <c r="G162" i="4" s="1"/>
  <c r="I162" i="4" s="1"/>
  <c r="E162" i="4" s="1"/>
  <c r="G163" i="4" s="1"/>
  <c r="I163" i="4" s="1"/>
  <c r="E163" i="4" s="1"/>
  <c r="G164" i="4" s="1"/>
  <c r="I164" i="4" s="1"/>
  <c r="E164" i="4" s="1"/>
  <c r="G165" i="4" s="1"/>
  <c r="I165" i="4" s="1"/>
  <c r="E165" i="4" s="1"/>
  <c r="G166" i="4" s="1"/>
  <c r="I166" i="4" s="1"/>
  <c r="E166" i="4" s="1"/>
  <c r="G167" i="4" s="1"/>
  <c r="I167" i="4" s="1"/>
  <c r="E167" i="4" s="1"/>
  <c r="G168" i="4" s="1"/>
  <c r="I168" i="4" s="1"/>
  <c r="E168" i="4" s="1"/>
  <c r="G169" i="4" s="1"/>
  <c r="I169" i="4" s="1"/>
  <c r="E169" i="4" s="1"/>
  <c r="G170" i="4" s="1"/>
  <c r="I170" i="4" s="1"/>
  <c r="E170" i="4" s="1"/>
  <c r="G171" i="4" s="1"/>
  <c r="I171" i="4" s="1"/>
  <c r="E171" i="4" s="1"/>
  <c r="G172" i="4" s="1"/>
  <c r="I172" i="4" s="1"/>
  <c r="E172" i="4" s="1"/>
  <c r="G173" i="4" s="1"/>
  <c r="I173" i="4" s="1"/>
  <c r="E173" i="4" s="1"/>
  <c r="G174" i="4" s="1"/>
  <c r="I174" i="4" s="1"/>
  <c r="E174" i="4" s="1"/>
  <c r="G175" i="4" s="1"/>
  <c r="I175" i="4" s="1"/>
  <c r="E175" i="4" s="1"/>
  <c r="G176" i="4" s="1"/>
  <c r="I176" i="4" s="1"/>
  <c r="E176" i="4" s="1"/>
  <c r="G177" i="4" s="1"/>
  <c r="I177" i="4" s="1"/>
  <c r="E177" i="4" s="1"/>
  <c r="G178" i="4" s="1"/>
  <c r="I178" i="4" s="1"/>
  <c r="E178" i="4" s="1"/>
  <c r="G179" i="4" s="1"/>
  <c r="I179" i="4" s="1"/>
  <c r="E179" i="4" s="1"/>
  <c r="G180" i="4" s="1"/>
  <c r="I180" i="4" s="1"/>
  <c r="E180" i="4" s="1"/>
  <c r="G181" i="4" s="1"/>
  <c r="I181" i="4" s="1"/>
  <c r="E181" i="4" s="1"/>
  <c r="G182" i="4" s="1"/>
  <c r="I182" i="4" s="1"/>
  <c r="E182" i="4" s="1"/>
  <c r="G183" i="4" s="1"/>
  <c r="I183" i="4" s="1"/>
  <c r="E183" i="4" s="1"/>
  <c r="G184" i="4" s="1"/>
  <c r="I184" i="4" s="1"/>
  <c r="E184" i="4" s="1"/>
  <c r="G185" i="4" s="1"/>
  <c r="I185" i="4" s="1"/>
  <c r="E185" i="4" s="1"/>
  <c r="G186" i="4" s="1"/>
  <c r="I186" i="4" s="1"/>
  <c r="E186" i="4" s="1"/>
  <c r="G187" i="4" s="1"/>
  <c r="I187" i="4" s="1"/>
  <c r="E187" i="4" s="1"/>
  <c r="G188" i="4" s="1"/>
  <c r="I188" i="4" s="1"/>
  <c r="E188" i="4" s="1"/>
  <c r="G189" i="4" s="1"/>
  <c r="I189" i="4" s="1"/>
  <c r="E189" i="4" s="1"/>
  <c r="G190" i="4" s="1"/>
  <c r="I190" i="4" s="1"/>
  <c r="E190" i="4" s="1"/>
  <c r="G191" i="4" s="1"/>
  <c r="I191" i="4" s="1"/>
  <c r="E191" i="4" s="1"/>
  <c r="G192" i="4" s="1"/>
  <c r="I192" i="4" s="1"/>
  <c r="E192" i="4" s="1"/>
  <c r="G193" i="4" s="1"/>
  <c r="I193" i="4" s="1"/>
  <c r="E193" i="4" s="1"/>
  <c r="G194" i="4" s="1"/>
  <c r="I194" i="4" s="1"/>
  <c r="E194" i="4" s="1"/>
  <c r="G195" i="4" s="1"/>
  <c r="I195" i="4" s="1"/>
  <c r="E195" i="4" s="1"/>
  <c r="G196" i="4" s="1"/>
  <c r="I196" i="4" s="1"/>
  <c r="E196" i="4" s="1"/>
  <c r="G197" i="4" s="1"/>
  <c r="I197" i="4" s="1"/>
  <c r="E197" i="4" s="1"/>
  <c r="G198" i="4" s="1"/>
  <c r="I198" i="4" s="1"/>
  <c r="E198" i="4" s="1"/>
  <c r="G199" i="4" s="1"/>
  <c r="I199" i="4" s="1"/>
  <c r="E199" i="4" s="1"/>
  <c r="G200" i="4" s="1"/>
  <c r="I200" i="4" s="1"/>
  <c r="E200" i="4" s="1"/>
  <c r="G201" i="4" s="1"/>
  <c r="I201" i="4" s="1"/>
  <c r="E201" i="4" s="1"/>
  <c r="G202" i="4" s="1"/>
  <c r="I202" i="4" s="1"/>
  <c r="E202" i="4" s="1"/>
  <c r="G203" i="4" s="1"/>
  <c r="I203" i="4" s="1"/>
  <c r="E203" i="4" s="1"/>
  <c r="G204" i="4" s="1"/>
  <c r="I204" i="4" s="1"/>
  <c r="E204" i="4" s="1"/>
  <c r="G205" i="4" s="1"/>
  <c r="I205" i="4" s="1"/>
  <c r="E205" i="4" s="1"/>
  <c r="G206" i="4" s="1"/>
  <c r="I206" i="4" s="1"/>
  <c r="E206" i="4" s="1"/>
  <c r="G207" i="4" s="1"/>
  <c r="I207" i="4" s="1"/>
  <c r="E207" i="4" s="1"/>
  <c r="G208" i="4" s="1"/>
  <c r="I208" i="4" s="1"/>
  <c r="E208" i="4" s="1"/>
  <c r="G209" i="4" s="1"/>
  <c r="I209" i="4" s="1"/>
  <c r="E209" i="4" s="1"/>
  <c r="G210" i="4" s="1"/>
  <c r="I210" i="4" s="1"/>
  <c r="E210" i="4" s="1"/>
  <c r="G211" i="4" s="1"/>
  <c r="I211" i="4" s="1"/>
  <c r="E211" i="4" s="1"/>
  <c r="G212" i="4" s="1"/>
  <c r="I212" i="4" s="1"/>
  <c r="E212" i="4" s="1"/>
  <c r="G213" i="4" s="1"/>
  <c r="I213" i="4" s="1"/>
  <c r="E213" i="4" s="1"/>
  <c r="G214" i="4" s="1"/>
  <c r="I214" i="4" s="1"/>
  <c r="E214" i="4" s="1"/>
  <c r="G215" i="4" s="1"/>
  <c r="I215" i="4" s="1"/>
  <c r="E215" i="4" s="1"/>
  <c r="G216" i="4" s="1"/>
  <c r="I216" i="4" s="1"/>
  <c r="E216" i="4" s="1"/>
  <c r="G217" i="4" s="1"/>
  <c r="I217" i="4" s="1"/>
  <c r="E217" i="4" s="1"/>
  <c r="G218" i="4" s="1"/>
  <c r="I218" i="4" s="1"/>
  <c r="E218" i="4" s="1"/>
  <c r="G219" i="4" s="1"/>
  <c r="I219" i="4" s="1"/>
  <c r="E219" i="4" s="1"/>
  <c r="G220" i="4" s="1"/>
  <c r="I220" i="4" s="1"/>
  <c r="E220" i="4" s="1"/>
  <c r="G221" i="4" s="1"/>
  <c r="I221" i="4" s="1"/>
  <c r="E221" i="4" s="1"/>
  <c r="G222" i="4" s="1"/>
  <c r="I222" i="4" s="1"/>
  <c r="E222" i="4" s="1"/>
  <c r="G223" i="4" s="1"/>
  <c r="I223" i="4" s="1"/>
  <c r="E223" i="4" s="1"/>
  <c r="G224" i="4" s="1"/>
  <c r="I224" i="4" s="1"/>
  <c r="E224" i="4" s="1"/>
  <c r="G225" i="4" s="1"/>
  <c r="I225" i="4" s="1"/>
  <c r="E225" i="4" s="1"/>
  <c r="G226" i="4" s="1"/>
  <c r="I226" i="4" s="1"/>
  <c r="E226" i="4" s="1"/>
  <c r="G227" i="4" s="1"/>
  <c r="I227" i="4" s="1"/>
  <c r="E227" i="4" s="1"/>
  <c r="G228" i="4" s="1"/>
  <c r="I228" i="4" s="1"/>
  <c r="E228" i="4" s="1"/>
  <c r="G229" i="4" s="1"/>
  <c r="I229" i="4" s="1"/>
  <c r="E229" i="4" s="1"/>
  <c r="G230" i="4" s="1"/>
  <c r="I230" i="4" s="1"/>
  <c r="E230" i="4" s="1"/>
  <c r="G231" i="4" s="1"/>
  <c r="I231" i="4" s="1"/>
  <c r="E231" i="4" s="1"/>
  <c r="G232" i="4" s="1"/>
  <c r="I232" i="4" s="1"/>
  <c r="E232" i="4" s="1"/>
  <c r="G233" i="4" s="1"/>
  <c r="I233" i="4" s="1"/>
  <c r="E233" i="4" s="1"/>
  <c r="G234" i="4" s="1"/>
  <c r="I234" i="4" s="1"/>
  <c r="E234" i="4" s="1"/>
  <c r="G235" i="4" s="1"/>
  <c r="I235" i="4" s="1"/>
  <c r="E235" i="4" s="1"/>
  <c r="G236" i="4" s="1"/>
  <c r="I236" i="4" s="1"/>
  <c r="E236" i="4" s="1"/>
  <c r="G237" i="4" s="1"/>
  <c r="I237" i="4" s="1"/>
  <c r="E237" i="4" s="1"/>
  <c r="G238" i="4" s="1"/>
  <c r="I238" i="4" s="1"/>
  <c r="E238" i="4" s="1"/>
  <c r="G239" i="4" s="1"/>
  <c r="I239" i="4" s="1"/>
  <c r="E239" i="4" s="1"/>
  <c r="G240" i="4" s="1"/>
  <c r="I240" i="4" s="1"/>
  <c r="E240" i="4" s="1"/>
  <c r="G241" i="4" s="1"/>
  <c r="I241" i="4" s="1"/>
  <c r="E241" i="4" s="1"/>
  <c r="G242" i="4" s="1"/>
  <c r="I242" i="4" s="1"/>
  <c r="E242" i="4" s="1"/>
  <c r="G243" i="4" s="1"/>
  <c r="I243" i="4" s="1"/>
  <c r="E243" i="4" s="1"/>
  <c r="G244" i="4" s="1"/>
  <c r="I244" i="4" s="1"/>
  <c r="E244" i="4" s="1"/>
  <c r="G245" i="4" s="1"/>
  <c r="I245" i="4" s="1"/>
  <c r="E245" i="4" s="1"/>
  <c r="G246" i="4" s="1"/>
  <c r="I246" i="4" s="1"/>
  <c r="E246" i="4" s="1"/>
  <c r="G247" i="4" s="1"/>
  <c r="I247" i="4" s="1"/>
  <c r="E247" i="4" s="1"/>
  <c r="G248" i="4" s="1"/>
  <c r="I248" i="4" s="1"/>
  <c r="E248" i="4" s="1"/>
  <c r="G249" i="4" s="1"/>
  <c r="I249" i="4" s="1"/>
  <c r="E249" i="4" s="1"/>
  <c r="G250" i="4" s="1"/>
  <c r="I250" i="4" s="1"/>
  <c r="E250" i="4" s="1"/>
  <c r="G251" i="4" s="1"/>
  <c r="I251" i="4" s="1"/>
  <c r="E251" i="4" s="1"/>
  <c r="G252" i="4" s="1"/>
  <c r="I252" i="4" s="1"/>
  <c r="E252" i="4" s="1"/>
  <c r="G253" i="4" s="1"/>
  <c r="I253" i="4" s="1"/>
  <c r="E253" i="4" s="1"/>
  <c r="G254" i="4" s="1"/>
  <c r="I254" i="4" s="1"/>
  <c r="E254" i="4" s="1"/>
  <c r="G255" i="4" s="1"/>
  <c r="I255" i="4" s="1"/>
  <c r="E255" i="4" s="1"/>
  <c r="G256" i="4" s="1"/>
  <c r="I256" i="4" s="1"/>
  <c r="E256" i="4" s="1"/>
  <c r="G257" i="4" s="1"/>
  <c r="I257" i="4" s="1"/>
  <c r="E257" i="4" s="1"/>
  <c r="G258" i="4" s="1"/>
  <c r="I258" i="4" s="1"/>
  <c r="E258" i="4" s="1"/>
  <c r="G259" i="4" s="1"/>
  <c r="I259" i="4" s="1"/>
  <c r="E259" i="4" s="1"/>
  <c r="G260" i="4" s="1"/>
  <c r="I260" i="4" s="1"/>
  <c r="E260" i="4" s="1"/>
  <c r="G261" i="4" s="1"/>
  <c r="I261" i="4" s="1"/>
  <c r="E261" i="4" s="1"/>
  <c r="G262" i="4" s="1"/>
  <c r="I262" i="4" s="1"/>
  <c r="E262" i="4" s="1"/>
  <c r="G263" i="4" s="1"/>
  <c r="I263" i="4" s="1"/>
  <c r="E263" i="4" s="1"/>
  <c r="G264" i="4" s="1"/>
  <c r="I264" i="4" s="1"/>
  <c r="E264" i="4" s="1"/>
  <c r="G265" i="4" s="1"/>
  <c r="I265" i="4" s="1"/>
  <c r="E265" i="4" s="1"/>
  <c r="G266" i="4" s="1"/>
  <c r="I266" i="4" s="1"/>
  <c r="E266" i="4" s="1"/>
  <c r="G267" i="4" s="1"/>
  <c r="I267" i="4" s="1"/>
  <c r="E267" i="4" s="1"/>
  <c r="G268" i="4" s="1"/>
  <c r="I268" i="4" s="1"/>
  <c r="E268" i="4" s="1"/>
  <c r="G269" i="4" s="1"/>
  <c r="I269" i="4" s="1"/>
  <c r="E269" i="4" s="1"/>
  <c r="G270" i="4" s="1"/>
  <c r="I270" i="4" s="1"/>
  <c r="E270" i="4" s="1"/>
  <c r="G271" i="4" s="1"/>
  <c r="I271" i="4" s="1"/>
  <c r="E271" i="4" s="1"/>
  <c r="G272" i="4" s="1"/>
  <c r="I272" i="4" s="1"/>
  <c r="E272" i="4" s="1"/>
  <c r="G273" i="4" s="1"/>
  <c r="I273" i="4" s="1"/>
  <c r="E273" i="4" s="1"/>
  <c r="G274" i="4" s="1"/>
  <c r="I274" i="4" s="1"/>
  <c r="E274" i="4" s="1"/>
  <c r="G275" i="4" s="1"/>
  <c r="I275" i="4" s="1"/>
  <c r="E275" i="4" s="1"/>
  <c r="G276" i="4" s="1"/>
  <c r="I276" i="4" s="1"/>
  <c r="E276" i="4" s="1"/>
  <c r="G277" i="4" s="1"/>
  <c r="I277" i="4" s="1"/>
  <c r="E277" i="4" s="1"/>
  <c r="G278" i="4" s="1"/>
  <c r="I278" i="4" s="1"/>
  <c r="E278" i="4" s="1"/>
  <c r="G279" i="4" s="1"/>
  <c r="I279" i="4" s="1"/>
  <c r="E279" i="4" s="1"/>
  <c r="G280" i="4" s="1"/>
  <c r="I280" i="4" s="1"/>
  <c r="E280" i="4" s="1"/>
  <c r="G281" i="4" s="1"/>
  <c r="I281" i="4" s="1"/>
  <c r="E281" i="4" s="1"/>
  <c r="F4" i="4"/>
  <c r="H5" i="4" s="1"/>
  <c r="F5" i="4" l="1"/>
  <c r="H6" i="4" s="1"/>
  <c r="F6" i="4" s="1"/>
  <c r="H7" i="4" s="1"/>
  <c r="F7" i="4" s="1"/>
  <c r="H8" i="4" s="1"/>
  <c r="F8" i="4" s="1"/>
  <c r="H9" i="4" s="1"/>
  <c r="F9" i="4" s="1"/>
  <c r="H10" i="4" s="1"/>
  <c r="F10" i="4" s="1"/>
  <c r="H11" i="4" s="1"/>
  <c r="F11" i="4" s="1"/>
  <c r="H12" i="4" s="1"/>
  <c r="F12" i="4" s="1"/>
  <c r="H13" i="4" s="1"/>
  <c r="F13" i="4" s="1"/>
  <c r="H14" i="4" s="1"/>
  <c r="F14" i="4" s="1"/>
  <c r="H15" i="4" s="1"/>
  <c r="F15" i="4" s="1"/>
  <c r="H16" i="4" s="1"/>
  <c r="F16" i="4" s="1"/>
  <c r="H17" i="4" s="1"/>
  <c r="F17" i="4" s="1"/>
  <c r="H18" i="4" s="1"/>
  <c r="F18" i="4" s="1"/>
  <c r="H19" i="4" s="1"/>
  <c r="F19" i="4" s="1"/>
  <c r="H20" i="4" s="1"/>
  <c r="F20" i="4" s="1"/>
  <c r="H21" i="4" s="1"/>
  <c r="F21" i="4" s="1"/>
  <c r="H22" i="4" s="1"/>
  <c r="F22" i="4" s="1"/>
  <c r="H23" i="4" s="1"/>
  <c r="F23" i="4" s="1"/>
  <c r="H24" i="4" s="1"/>
  <c r="F24" i="4" s="1"/>
  <c r="H25" i="4" s="1"/>
  <c r="F25" i="4" s="1"/>
  <c r="H26" i="4" s="1"/>
  <c r="F26" i="4" s="1"/>
  <c r="H27" i="4" s="1"/>
  <c r="F27" i="4" s="1"/>
  <c r="H28" i="4" s="1"/>
  <c r="F28" i="4" s="1"/>
  <c r="H29" i="4" s="1"/>
  <c r="F29" i="4" s="1"/>
  <c r="H30" i="4" s="1"/>
  <c r="F30" i="4" s="1"/>
  <c r="H31" i="4" s="1"/>
  <c r="F31" i="4" s="1"/>
  <c r="H32" i="4" s="1"/>
  <c r="F32" i="4" s="1"/>
  <c r="H33" i="4" s="1"/>
  <c r="F33" i="4" s="1"/>
  <c r="H34" i="4" s="1"/>
  <c r="F34" i="4" s="1"/>
  <c r="H35" i="4" s="1"/>
  <c r="F35" i="4" s="1"/>
  <c r="H36" i="4" s="1"/>
  <c r="F36" i="4" s="1"/>
  <c r="H37" i="4" s="1"/>
  <c r="F37" i="4" s="1"/>
  <c r="H38" i="4" s="1"/>
  <c r="F38" i="4" s="1"/>
  <c r="H39" i="4" s="1"/>
  <c r="F39" i="4" s="1"/>
  <c r="H40" i="4" s="1"/>
  <c r="F40" i="4" s="1"/>
  <c r="H41" i="4" s="1"/>
  <c r="F41" i="4" s="1"/>
  <c r="H42" i="4" s="1"/>
  <c r="F42" i="4" s="1"/>
  <c r="H43" i="4" s="1"/>
  <c r="F43" i="4" s="1"/>
  <c r="H44" i="4" s="1"/>
  <c r="F44" i="4" s="1"/>
  <c r="H45" i="4" s="1"/>
  <c r="F45" i="4" s="1"/>
  <c r="H46" i="4" s="1"/>
  <c r="F46" i="4" s="1"/>
  <c r="H47" i="4" s="1"/>
  <c r="F47" i="4" s="1"/>
  <c r="H48" i="4" s="1"/>
  <c r="F48" i="4" s="1"/>
  <c r="H49" i="4" s="1"/>
  <c r="F49" i="4" s="1"/>
  <c r="H50" i="4" s="1"/>
  <c r="F50" i="4" s="1"/>
  <c r="H51" i="4" s="1"/>
  <c r="F51" i="4" s="1"/>
  <c r="H52" i="4" s="1"/>
  <c r="F52" i="4" s="1"/>
  <c r="H53" i="4" s="1"/>
  <c r="F53" i="4" s="1"/>
  <c r="H54" i="4" s="1"/>
  <c r="F54" i="4" s="1"/>
  <c r="H55" i="4" s="1"/>
  <c r="F55" i="4" s="1"/>
  <c r="H56" i="4" s="1"/>
  <c r="F56" i="4" s="1"/>
  <c r="H57" i="4" s="1"/>
  <c r="F57" i="4" s="1"/>
  <c r="H58" i="4" s="1"/>
  <c r="F58" i="4" s="1"/>
  <c r="H59" i="4" s="1"/>
  <c r="F59" i="4" s="1"/>
  <c r="H60" i="4" s="1"/>
  <c r="F60" i="4" s="1"/>
  <c r="H61" i="4" s="1"/>
  <c r="F61" i="4" s="1"/>
  <c r="H62" i="4" s="1"/>
  <c r="F62" i="4" s="1"/>
  <c r="H63" i="4" s="1"/>
  <c r="F63" i="4" s="1"/>
  <c r="H64" i="4" s="1"/>
  <c r="F64" i="4" s="1"/>
  <c r="H65" i="4" s="1"/>
  <c r="F65" i="4" s="1"/>
  <c r="H66" i="4" s="1"/>
  <c r="F66" i="4" s="1"/>
  <c r="H67" i="4" s="1"/>
  <c r="F67" i="4" s="1"/>
  <c r="H68" i="4" s="1"/>
  <c r="F68" i="4" s="1"/>
  <c r="H69" i="4" s="1"/>
  <c r="F69" i="4" s="1"/>
  <c r="H70" i="4" s="1"/>
  <c r="F70" i="4" s="1"/>
  <c r="H71" i="4" s="1"/>
  <c r="F71" i="4" s="1"/>
  <c r="H72" i="4" s="1"/>
  <c r="F72" i="4" s="1"/>
  <c r="H73" i="4" s="1"/>
  <c r="F73" i="4" s="1"/>
  <c r="H74" i="4" s="1"/>
  <c r="F74" i="4" s="1"/>
  <c r="H75" i="4" s="1"/>
  <c r="F75" i="4" s="1"/>
  <c r="H76" i="4" s="1"/>
  <c r="F76" i="4" s="1"/>
  <c r="H77" i="4" s="1"/>
  <c r="F77" i="4" s="1"/>
  <c r="H78" i="4" s="1"/>
  <c r="F78" i="4" s="1"/>
  <c r="H79" i="4" s="1"/>
  <c r="F79" i="4" s="1"/>
  <c r="H80" i="4" s="1"/>
  <c r="F80" i="4" s="1"/>
  <c r="H81" i="4" s="1"/>
  <c r="F81" i="4" s="1"/>
  <c r="H82" i="4" s="1"/>
  <c r="F82" i="4" s="1"/>
  <c r="H83" i="4" s="1"/>
  <c r="F83" i="4" s="1"/>
  <c r="H84" i="4" s="1"/>
  <c r="F84" i="4" s="1"/>
  <c r="H85" i="4" s="1"/>
  <c r="F85" i="4" s="1"/>
  <c r="H86" i="4" s="1"/>
  <c r="F86" i="4" s="1"/>
  <c r="H87" i="4" s="1"/>
  <c r="F87" i="4" s="1"/>
  <c r="H88" i="4" s="1"/>
  <c r="F88" i="4" s="1"/>
  <c r="H89" i="4" s="1"/>
  <c r="F89" i="4" s="1"/>
  <c r="H90" i="4" s="1"/>
  <c r="F90" i="4" s="1"/>
  <c r="H91" i="4" s="1"/>
  <c r="F91" i="4" s="1"/>
  <c r="H92" i="4" s="1"/>
  <c r="F92" i="4" s="1"/>
  <c r="H93" i="4" s="1"/>
  <c r="F93" i="4" s="1"/>
  <c r="H94" i="4" s="1"/>
  <c r="F94" i="4" s="1"/>
  <c r="H95" i="4" s="1"/>
  <c r="F95" i="4" s="1"/>
  <c r="H96" i="4" s="1"/>
  <c r="F96" i="4" s="1"/>
  <c r="H97" i="4" s="1"/>
  <c r="F97" i="4" s="1"/>
  <c r="H98" i="4" s="1"/>
  <c r="F98" i="4" s="1"/>
  <c r="H99" i="4" s="1"/>
  <c r="F99" i="4" s="1"/>
  <c r="H100" i="4" s="1"/>
  <c r="F100" i="4" s="1"/>
  <c r="H101" i="4" s="1"/>
  <c r="F101" i="4" s="1"/>
  <c r="H102" i="4" s="1"/>
  <c r="F102" i="4" s="1"/>
  <c r="H103" i="4" s="1"/>
  <c r="F103" i="4" s="1"/>
  <c r="H104" i="4" s="1"/>
  <c r="F104" i="4" s="1"/>
  <c r="H105" i="4" s="1"/>
  <c r="F105" i="4" s="1"/>
  <c r="H106" i="4" s="1"/>
  <c r="F106" i="4" s="1"/>
  <c r="H107" i="4" s="1"/>
  <c r="F107" i="4" s="1"/>
  <c r="H108" i="4" s="1"/>
  <c r="F108" i="4" s="1"/>
  <c r="H109" i="4" s="1"/>
  <c r="F109" i="4" s="1"/>
  <c r="H110" i="4" s="1"/>
  <c r="F110" i="4" s="1"/>
  <c r="H111" i="4" s="1"/>
  <c r="F111" i="4" s="1"/>
  <c r="H112" i="4" s="1"/>
  <c r="F112" i="4" s="1"/>
  <c r="H113" i="4" s="1"/>
  <c r="F113" i="4" s="1"/>
  <c r="H114" i="4" s="1"/>
  <c r="F114" i="4" s="1"/>
  <c r="H115" i="4" s="1"/>
  <c r="F115" i="4" s="1"/>
  <c r="H116" i="4" s="1"/>
  <c r="F116" i="4" s="1"/>
  <c r="H117" i="4" s="1"/>
  <c r="F117" i="4" s="1"/>
  <c r="H118" i="4" s="1"/>
  <c r="F118" i="4" s="1"/>
  <c r="H119" i="4" s="1"/>
  <c r="F119" i="4" s="1"/>
  <c r="H120" i="4" s="1"/>
  <c r="F120" i="4" s="1"/>
  <c r="H121" i="4" s="1"/>
  <c r="F121" i="4" s="1"/>
  <c r="H122" i="4" s="1"/>
  <c r="F122" i="4" s="1"/>
  <c r="H123" i="4" s="1"/>
  <c r="F123" i="4" s="1"/>
  <c r="H124" i="4" s="1"/>
  <c r="F124" i="4" s="1"/>
  <c r="H125" i="4" s="1"/>
  <c r="F125" i="4" s="1"/>
  <c r="H126" i="4" s="1"/>
  <c r="F126" i="4" s="1"/>
  <c r="H127" i="4" s="1"/>
  <c r="F127" i="4" s="1"/>
  <c r="H128" i="4" s="1"/>
  <c r="F128" i="4" s="1"/>
  <c r="H129" i="4" s="1"/>
  <c r="F129" i="4" s="1"/>
  <c r="H130" i="4" s="1"/>
  <c r="F130" i="4" s="1"/>
  <c r="H131" i="4" s="1"/>
  <c r="F131" i="4" s="1"/>
  <c r="H132" i="4" s="1"/>
  <c r="F132" i="4" s="1"/>
  <c r="H133" i="4" s="1"/>
  <c r="F133" i="4" s="1"/>
  <c r="H134" i="4" s="1"/>
  <c r="F134" i="4" s="1"/>
  <c r="H135" i="4" s="1"/>
  <c r="F135" i="4" s="1"/>
  <c r="H136" i="4" s="1"/>
  <c r="F136" i="4" s="1"/>
  <c r="H137" i="4" s="1"/>
  <c r="F137" i="4" s="1"/>
  <c r="H138" i="4" s="1"/>
  <c r="F138" i="4" s="1"/>
  <c r="H139" i="4" s="1"/>
  <c r="F139" i="4" s="1"/>
  <c r="H140" i="4" s="1"/>
  <c r="F140" i="4" s="1"/>
  <c r="H141" i="4" s="1"/>
  <c r="F141" i="4" s="1"/>
  <c r="H142" i="4" s="1"/>
  <c r="F142" i="4" s="1"/>
  <c r="H143" i="4" s="1"/>
  <c r="F143" i="4" s="1"/>
  <c r="H144" i="4" s="1"/>
  <c r="F144" i="4" s="1"/>
  <c r="H145" i="4" s="1"/>
  <c r="F145" i="4" s="1"/>
  <c r="H146" i="4" s="1"/>
  <c r="F146" i="4" s="1"/>
  <c r="H147" i="4" s="1"/>
  <c r="F147" i="4" s="1"/>
  <c r="H148" i="4" s="1"/>
  <c r="F148" i="4" s="1"/>
  <c r="H149" i="4" s="1"/>
  <c r="F149" i="4" s="1"/>
  <c r="H150" i="4" s="1"/>
  <c r="F150" i="4" s="1"/>
  <c r="H151" i="4" s="1"/>
  <c r="F151" i="4" s="1"/>
  <c r="H152" i="4" s="1"/>
  <c r="F152" i="4" s="1"/>
  <c r="H153" i="4" s="1"/>
  <c r="F153" i="4" s="1"/>
  <c r="H154" i="4" s="1"/>
  <c r="F154" i="4" s="1"/>
  <c r="H155" i="4" s="1"/>
  <c r="F155" i="4" s="1"/>
  <c r="H156" i="4" s="1"/>
  <c r="F156" i="4" s="1"/>
  <c r="H157" i="4" s="1"/>
  <c r="F157" i="4" s="1"/>
  <c r="H158" i="4" s="1"/>
  <c r="F158" i="4" s="1"/>
  <c r="H159" i="4" s="1"/>
  <c r="F159" i="4" s="1"/>
  <c r="H160" i="4" s="1"/>
  <c r="F160" i="4" s="1"/>
  <c r="H161" i="4" s="1"/>
  <c r="F161" i="4" s="1"/>
  <c r="H162" i="4" s="1"/>
  <c r="F162" i="4" s="1"/>
  <c r="H163" i="4" s="1"/>
  <c r="F163" i="4" s="1"/>
  <c r="H164" i="4" s="1"/>
  <c r="F164" i="4" s="1"/>
  <c r="H165" i="4" s="1"/>
  <c r="F165" i="4" s="1"/>
  <c r="H166" i="4" s="1"/>
  <c r="F166" i="4" s="1"/>
  <c r="H167" i="4" s="1"/>
  <c r="F167" i="4" s="1"/>
  <c r="H168" i="4" s="1"/>
  <c r="F168" i="4" s="1"/>
  <c r="H169" i="4" s="1"/>
  <c r="F169" i="4" s="1"/>
  <c r="H170" i="4" s="1"/>
  <c r="F170" i="4" s="1"/>
  <c r="H171" i="4" s="1"/>
  <c r="F171" i="4" s="1"/>
  <c r="H172" i="4" s="1"/>
  <c r="F172" i="4" s="1"/>
  <c r="H173" i="4" s="1"/>
  <c r="F173" i="4" s="1"/>
  <c r="H174" i="4" s="1"/>
  <c r="F174" i="4" s="1"/>
  <c r="H175" i="4" s="1"/>
  <c r="F175" i="4" s="1"/>
  <c r="H176" i="4" s="1"/>
  <c r="F176" i="4" s="1"/>
  <c r="H177" i="4" s="1"/>
  <c r="F177" i="4" s="1"/>
  <c r="H178" i="4" s="1"/>
  <c r="F178" i="4" s="1"/>
  <c r="H179" i="4" s="1"/>
  <c r="F179" i="4" s="1"/>
  <c r="H180" i="4" s="1"/>
  <c r="F180" i="4" s="1"/>
  <c r="H181" i="4" s="1"/>
  <c r="F181" i="4" s="1"/>
  <c r="H182" i="4" s="1"/>
  <c r="F182" i="4" s="1"/>
  <c r="H183" i="4" s="1"/>
  <c r="F183" i="4" s="1"/>
  <c r="H184" i="4" s="1"/>
  <c r="F184" i="4" s="1"/>
  <c r="H185" i="4" s="1"/>
  <c r="F185" i="4" s="1"/>
  <c r="H186" i="4" s="1"/>
  <c r="F186" i="4" s="1"/>
  <c r="H187" i="4" s="1"/>
  <c r="F187" i="4" s="1"/>
  <c r="H188" i="4" s="1"/>
  <c r="F188" i="4" s="1"/>
  <c r="H189" i="4" s="1"/>
  <c r="F189" i="4" s="1"/>
  <c r="H190" i="4" s="1"/>
  <c r="F190" i="4" s="1"/>
  <c r="H191" i="4" s="1"/>
  <c r="F191" i="4" s="1"/>
  <c r="H192" i="4" s="1"/>
  <c r="F192" i="4" s="1"/>
  <c r="H193" i="4" s="1"/>
  <c r="F193" i="4" s="1"/>
  <c r="H194" i="4" s="1"/>
  <c r="F194" i="4" s="1"/>
  <c r="H195" i="4" s="1"/>
  <c r="F195" i="4" s="1"/>
  <c r="H196" i="4" s="1"/>
  <c r="F196" i="4" s="1"/>
  <c r="H197" i="4" s="1"/>
  <c r="F197" i="4" s="1"/>
  <c r="H198" i="4" s="1"/>
  <c r="F198" i="4" s="1"/>
  <c r="H199" i="4" s="1"/>
  <c r="F199" i="4" s="1"/>
  <c r="H200" i="4" s="1"/>
  <c r="F200" i="4" s="1"/>
  <c r="H201" i="4" s="1"/>
  <c r="F201" i="4" s="1"/>
  <c r="H202" i="4" s="1"/>
  <c r="F202" i="4" s="1"/>
  <c r="H203" i="4" s="1"/>
  <c r="F203" i="4" s="1"/>
  <c r="H204" i="4" s="1"/>
  <c r="F204" i="4" s="1"/>
  <c r="H205" i="4" s="1"/>
  <c r="F205" i="4" s="1"/>
  <c r="H206" i="4" s="1"/>
  <c r="F206" i="4" s="1"/>
  <c r="H207" i="4" s="1"/>
  <c r="F207" i="4" s="1"/>
  <c r="H208" i="4" s="1"/>
  <c r="F208" i="4" s="1"/>
  <c r="H209" i="4" s="1"/>
  <c r="F209" i="4" s="1"/>
  <c r="H210" i="4" s="1"/>
  <c r="F210" i="4" s="1"/>
  <c r="H211" i="4" s="1"/>
  <c r="F211" i="4" s="1"/>
  <c r="H212" i="4" s="1"/>
  <c r="F212" i="4" s="1"/>
  <c r="H213" i="4" s="1"/>
  <c r="F213" i="4" s="1"/>
  <c r="H214" i="4" s="1"/>
  <c r="F214" i="4" s="1"/>
  <c r="H215" i="4" s="1"/>
  <c r="F215" i="4" s="1"/>
  <c r="H216" i="4" s="1"/>
  <c r="F216" i="4" s="1"/>
  <c r="H217" i="4" s="1"/>
  <c r="F217" i="4" s="1"/>
  <c r="H218" i="4" s="1"/>
  <c r="F218" i="4" s="1"/>
  <c r="H219" i="4" s="1"/>
  <c r="F219" i="4" s="1"/>
  <c r="H220" i="4" s="1"/>
  <c r="F220" i="4" s="1"/>
  <c r="H221" i="4" s="1"/>
  <c r="F221" i="4" s="1"/>
  <c r="H222" i="4" s="1"/>
  <c r="F222" i="4" s="1"/>
  <c r="H223" i="4" s="1"/>
  <c r="F223" i="4" s="1"/>
  <c r="H224" i="4" s="1"/>
  <c r="F224" i="4" s="1"/>
  <c r="H225" i="4" s="1"/>
  <c r="F225" i="4" s="1"/>
  <c r="H226" i="4" s="1"/>
  <c r="F226" i="4" s="1"/>
  <c r="H227" i="4" s="1"/>
  <c r="F227" i="4" s="1"/>
  <c r="H228" i="4" s="1"/>
  <c r="F228" i="4" s="1"/>
  <c r="H229" i="4" s="1"/>
  <c r="F229" i="4" s="1"/>
  <c r="H230" i="4" s="1"/>
  <c r="F230" i="4" s="1"/>
  <c r="H231" i="4" s="1"/>
  <c r="F231" i="4" s="1"/>
  <c r="H232" i="4" s="1"/>
  <c r="F232" i="4" s="1"/>
  <c r="H233" i="4" s="1"/>
  <c r="F233" i="4" s="1"/>
  <c r="H234" i="4" s="1"/>
  <c r="F234" i="4" s="1"/>
  <c r="H235" i="4" s="1"/>
  <c r="F235" i="4" s="1"/>
  <c r="H236" i="4" s="1"/>
  <c r="F236" i="4" s="1"/>
  <c r="H237" i="4" s="1"/>
  <c r="F237" i="4" s="1"/>
  <c r="H238" i="4" s="1"/>
  <c r="F238" i="4" s="1"/>
  <c r="H239" i="4" s="1"/>
  <c r="F239" i="4" s="1"/>
  <c r="H240" i="4" s="1"/>
  <c r="F240" i="4" s="1"/>
  <c r="H241" i="4" s="1"/>
  <c r="F241" i="4" s="1"/>
  <c r="H242" i="4" s="1"/>
  <c r="F242" i="4" s="1"/>
  <c r="H243" i="4" s="1"/>
  <c r="F243" i="4" s="1"/>
  <c r="H244" i="4" s="1"/>
  <c r="F244" i="4" s="1"/>
  <c r="H245" i="4" s="1"/>
  <c r="F245" i="4" s="1"/>
  <c r="H246" i="4" s="1"/>
  <c r="F246" i="4" s="1"/>
  <c r="H247" i="4" s="1"/>
  <c r="F247" i="4" s="1"/>
  <c r="H248" i="4" s="1"/>
  <c r="F248" i="4" s="1"/>
  <c r="H249" i="4" s="1"/>
  <c r="F249" i="4" s="1"/>
  <c r="H250" i="4" s="1"/>
  <c r="F250" i="4" s="1"/>
  <c r="H251" i="4" s="1"/>
  <c r="F251" i="4" s="1"/>
  <c r="H252" i="4" s="1"/>
  <c r="F252" i="4" s="1"/>
  <c r="H253" i="4" s="1"/>
  <c r="F253" i="4" s="1"/>
  <c r="H254" i="4" s="1"/>
  <c r="F254" i="4" s="1"/>
  <c r="H255" i="4" s="1"/>
  <c r="F255" i="4" s="1"/>
  <c r="H256" i="4" s="1"/>
  <c r="F256" i="4" s="1"/>
  <c r="H257" i="4" s="1"/>
  <c r="F257" i="4" s="1"/>
  <c r="H258" i="4" s="1"/>
  <c r="F258" i="4" s="1"/>
  <c r="H259" i="4" s="1"/>
  <c r="F259" i="4" s="1"/>
  <c r="H260" i="4" s="1"/>
  <c r="F260" i="4" s="1"/>
  <c r="H261" i="4" s="1"/>
  <c r="F261" i="4" s="1"/>
  <c r="H262" i="4" s="1"/>
  <c r="F262" i="4" s="1"/>
  <c r="H263" i="4" s="1"/>
  <c r="F263" i="4" s="1"/>
  <c r="H264" i="4" s="1"/>
  <c r="F264" i="4" s="1"/>
  <c r="H265" i="4" s="1"/>
  <c r="F265" i="4" s="1"/>
  <c r="H266" i="4" s="1"/>
  <c r="F266" i="4" s="1"/>
  <c r="H267" i="4" s="1"/>
  <c r="F267" i="4" s="1"/>
  <c r="H268" i="4" s="1"/>
  <c r="F268" i="4" s="1"/>
  <c r="H269" i="4" s="1"/>
  <c r="F269" i="4" s="1"/>
  <c r="H270" i="4" s="1"/>
  <c r="F270" i="4" s="1"/>
  <c r="H271" i="4" s="1"/>
  <c r="F271" i="4" s="1"/>
  <c r="H272" i="4" s="1"/>
  <c r="F272" i="4" s="1"/>
  <c r="H273" i="4" s="1"/>
  <c r="F273" i="4" s="1"/>
  <c r="H274" i="4" s="1"/>
  <c r="F274" i="4" s="1"/>
  <c r="H275" i="4" s="1"/>
  <c r="F275" i="4" s="1"/>
  <c r="H276" i="4" s="1"/>
  <c r="F276" i="4" s="1"/>
  <c r="H277" i="4" s="1"/>
  <c r="F277" i="4" s="1"/>
  <c r="H278" i="4" s="1"/>
  <c r="F278" i="4" s="1"/>
  <c r="H279" i="4" s="1"/>
  <c r="F279" i="4" s="1"/>
  <c r="H280" i="4" s="1"/>
  <c r="F280" i="4" s="1"/>
  <c r="H281" i="4" s="1"/>
  <c r="F281" i="4" s="1"/>
</calcChain>
</file>

<file path=xl/sharedStrings.xml><?xml version="1.0" encoding="utf-8"?>
<sst xmlns="http://schemas.openxmlformats.org/spreadsheetml/2006/main" count="1087" uniqueCount="33">
  <si>
    <t>Date</t>
  </si>
  <si>
    <t>Time</t>
  </si>
  <si>
    <t>Blood Sugar (mg/dL)</t>
  </si>
  <si>
    <t>Reference Method</t>
  </si>
  <si>
    <t>Fasting</t>
  </si>
  <si>
    <t>Before Meal</t>
  </si>
  <si>
    <t>After Meal</t>
  </si>
  <si>
    <t>Logbook</t>
  </si>
  <si>
    <t>Deleted</t>
  </si>
  <si>
    <t>Control</t>
  </si>
  <si>
    <t>Manual</t>
  </si>
  <si>
    <t>A1c %</t>
  </si>
  <si>
    <t>A1c mmol/mol</t>
  </si>
  <si>
    <t>Insulin</t>
  </si>
  <si>
    <t>Insulin Type</t>
  </si>
  <si>
    <t>Carb Grams</t>
  </si>
  <si>
    <t>Carb Points</t>
  </si>
  <si>
    <t>Carb Choices</t>
  </si>
  <si>
    <t>Comment</t>
  </si>
  <si>
    <t>plasma</t>
  </si>
  <si>
    <t xml:space="preserve">Before Meal </t>
  </si>
  <si>
    <t>qk
(process noise)</t>
  </si>
  <si>
    <t>Pk (Covariance)</t>
  </si>
  <si>
    <t>Xk (Estimate)</t>
  </si>
  <si>
    <t>Pk-minus</t>
  </si>
  <si>
    <t>Xk-minus</t>
  </si>
  <si>
    <t>Kk (Kalman Gain)</t>
  </si>
  <si>
    <t>Zk (measurements)</t>
  </si>
  <si>
    <t>Measurement Variance</t>
  </si>
  <si>
    <t>qk</t>
  </si>
  <si>
    <t>time, k (day)</t>
  </si>
  <si>
    <t>rk (measurement noise)</t>
  </si>
  <si>
    <t>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</si>
</sst>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rebuchet MS"/>
      <family val="2"/>
    </font>
    <font>
      <u/>
      <sz val="9"/>
      <color theme="1"/>
      <name val="Trebuchet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" fontId="18" fillId="0" borderId="10" xfId="0" applyNumberFormat="1" applyFont="1" applyBorder="1" applyAlignment="1">
      <alignment horizontal="center" vertical="center" wrapText="1"/>
    </xf>
    <xf numFmtId="2" fontId="18" fillId="0" borderId="10" xfId="0" applyNumberFormat="1" applyFont="1" applyBorder="1" applyAlignment="1">
      <alignment horizontal="center" vertical="center" wrapText="1"/>
    </xf>
    <xf numFmtId="164" fontId="18" fillId="0" borderId="10" xfId="0" applyNumberFormat="1" applyFont="1" applyBorder="1" applyAlignment="1">
      <alignment horizontal="center" vertical="center" wrapText="1"/>
    </xf>
    <xf numFmtId="165" fontId="18" fillId="0" borderId="10" xfId="0" applyNumberFormat="1" applyFont="1" applyBorder="1" applyAlignment="1">
      <alignment horizontal="center" vertical="center" wrapText="1"/>
    </xf>
    <xf numFmtId="2" fontId="18" fillId="0" borderId="11" xfId="0" applyNumberFormat="1" applyFont="1" applyFill="1" applyBorder="1" applyAlignment="1">
      <alignment horizontal="center" vertical="center" wrapText="1"/>
    </xf>
    <xf numFmtId="0" fontId="18" fillId="0" borderId="0" xfId="0" applyFont="1"/>
    <xf numFmtId="1" fontId="18" fillId="0" borderId="0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Border="1" applyAlignment="1">
      <alignment horizontal="center"/>
    </xf>
    <xf numFmtId="165" fontId="18" fillId="0" borderId="0" xfId="0" applyNumberFormat="1" applyFont="1" applyBorder="1" applyAlignment="1">
      <alignment horizontal="center" vertical="center" wrapText="1"/>
    </xf>
    <xf numFmtId="2" fontId="18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165" fontId="18" fillId="0" borderId="12" xfId="0" applyNumberFormat="1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Fasting Blood Glucose - Charted vs Tracked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KalmanFilter!$B$1</c:f>
              <c:strCache>
                <c:ptCount val="1"/>
                <c:pt idx="0">
                  <c:v>Zk (measurements)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KalmanFilter!$A$2:$A$281</c:f>
              <c:numCache>
                <c:formatCode>0</c:formatCode>
                <c:ptCount val="2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</c:numCache>
            </c:numRef>
          </c:xVal>
          <c:yVal>
            <c:numRef>
              <c:f>KalmanFilter!$B$2:$B$281</c:f>
              <c:numCache>
                <c:formatCode>General</c:formatCode>
                <c:ptCount val="280"/>
                <c:pt idx="0">
                  <c:v>33.304687999999999</c:v>
                </c:pt>
                <c:pt idx="1">
                  <c:v>33.011718999999999</c:v>
                </c:pt>
                <c:pt idx="2">
                  <c:v>32.71875</c:v>
                </c:pt>
                <c:pt idx="3">
                  <c:v>32.71875</c:v>
                </c:pt>
                <c:pt idx="4">
                  <c:v>32.71875</c:v>
                </c:pt>
                <c:pt idx="5">
                  <c:v>33.011718999999999</c:v>
                </c:pt>
                <c:pt idx="6">
                  <c:v>32.425781000000001</c:v>
                </c:pt>
                <c:pt idx="7">
                  <c:v>33.011718999999999</c:v>
                </c:pt>
                <c:pt idx="8">
                  <c:v>33.011718999999999</c:v>
                </c:pt>
                <c:pt idx="9">
                  <c:v>33.011718999999999</c:v>
                </c:pt>
                <c:pt idx="10">
                  <c:v>33.011718999999999</c:v>
                </c:pt>
                <c:pt idx="11">
                  <c:v>33.011718999999999</c:v>
                </c:pt>
                <c:pt idx="12">
                  <c:v>33.011718999999999</c:v>
                </c:pt>
                <c:pt idx="13">
                  <c:v>33.011718999999999</c:v>
                </c:pt>
                <c:pt idx="14">
                  <c:v>33.304687999999999</c:v>
                </c:pt>
                <c:pt idx="15">
                  <c:v>33.304687999999999</c:v>
                </c:pt>
                <c:pt idx="16">
                  <c:v>33.304687999999999</c:v>
                </c:pt>
                <c:pt idx="17">
                  <c:v>33.011718999999999</c:v>
                </c:pt>
                <c:pt idx="18">
                  <c:v>33.011718999999999</c:v>
                </c:pt>
                <c:pt idx="19">
                  <c:v>33.304687999999999</c:v>
                </c:pt>
                <c:pt idx="20">
                  <c:v>33.304687999999999</c:v>
                </c:pt>
                <c:pt idx="21">
                  <c:v>33.011718999999999</c:v>
                </c:pt>
                <c:pt idx="22">
                  <c:v>33.304687999999999</c:v>
                </c:pt>
                <c:pt idx="23">
                  <c:v>33.011718999999999</c:v>
                </c:pt>
                <c:pt idx="24">
                  <c:v>32.425781000000001</c:v>
                </c:pt>
                <c:pt idx="25">
                  <c:v>33.304687999999999</c:v>
                </c:pt>
                <c:pt idx="26">
                  <c:v>33.304687999999999</c:v>
                </c:pt>
                <c:pt idx="27">
                  <c:v>33.304687999999999</c:v>
                </c:pt>
                <c:pt idx="28">
                  <c:v>33.304687999999999</c:v>
                </c:pt>
                <c:pt idx="29">
                  <c:v>33.011718999999999</c:v>
                </c:pt>
                <c:pt idx="30">
                  <c:v>33.011718999999999</c:v>
                </c:pt>
                <c:pt idx="31">
                  <c:v>33.011718999999999</c:v>
                </c:pt>
                <c:pt idx="32">
                  <c:v>33.011718999999999</c:v>
                </c:pt>
                <c:pt idx="33">
                  <c:v>33.304687999999999</c:v>
                </c:pt>
                <c:pt idx="34">
                  <c:v>33.011718999999999</c:v>
                </c:pt>
                <c:pt idx="35">
                  <c:v>33.597656000000001</c:v>
                </c:pt>
                <c:pt idx="36">
                  <c:v>33.011718999999999</c:v>
                </c:pt>
                <c:pt idx="37">
                  <c:v>33.597656000000001</c:v>
                </c:pt>
                <c:pt idx="38">
                  <c:v>33.304687999999999</c:v>
                </c:pt>
                <c:pt idx="39">
                  <c:v>33.304687999999999</c:v>
                </c:pt>
                <c:pt idx="40">
                  <c:v>33.304687999999999</c:v>
                </c:pt>
                <c:pt idx="41">
                  <c:v>33.304687999999999</c:v>
                </c:pt>
                <c:pt idx="42">
                  <c:v>33.011718999999999</c:v>
                </c:pt>
                <c:pt idx="43">
                  <c:v>33.011718999999999</c:v>
                </c:pt>
                <c:pt idx="44">
                  <c:v>33.011718999999999</c:v>
                </c:pt>
                <c:pt idx="45">
                  <c:v>33.597656000000001</c:v>
                </c:pt>
                <c:pt idx="46">
                  <c:v>33.304687999999999</c:v>
                </c:pt>
                <c:pt idx="47">
                  <c:v>33.304687999999999</c:v>
                </c:pt>
                <c:pt idx="48">
                  <c:v>33.304687999999999</c:v>
                </c:pt>
                <c:pt idx="49">
                  <c:v>33.597656000000001</c:v>
                </c:pt>
                <c:pt idx="50">
                  <c:v>33.304687999999999</c:v>
                </c:pt>
                <c:pt idx="51">
                  <c:v>33.304687999999999</c:v>
                </c:pt>
                <c:pt idx="52">
                  <c:v>33.597656000000001</c:v>
                </c:pt>
                <c:pt idx="53">
                  <c:v>33.304687999999999</c:v>
                </c:pt>
                <c:pt idx="54">
                  <c:v>33.011718999999999</c:v>
                </c:pt>
                <c:pt idx="55">
                  <c:v>33.597656000000001</c:v>
                </c:pt>
                <c:pt idx="56">
                  <c:v>33.304687999999999</c:v>
                </c:pt>
                <c:pt idx="57">
                  <c:v>33.597656000000001</c:v>
                </c:pt>
                <c:pt idx="58">
                  <c:v>33.011718999999999</c:v>
                </c:pt>
                <c:pt idx="59">
                  <c:v>33.011718999999999</c:v>
                </c:pt>
                <c:pt idx="60">
                  <c:v>33.597656000000001</c:v>
                </c:pt>
                <c:pt idx="61">
                  <c:v>33.011718999999999</c:v>
                </c:pt>
                <c:pt idx="62">
                  <c:v>33.304687999999999</c:v>
                </c:pt>
                <c:pt idx="63">
                  <c:v>33.304687999999999</c:v>
                </c:pt>
                <c:pt idx="64">
                  <c:v>33.304687999999999</c:v>
                </c:pt>
                <c:pt idx="65">
                  <c:v>33.597656000000001</c:v>
                </c:pt>
                <c:pt idx="66">
                  <c:v>33.597656000000001</c:v>
                </c:pt>
                <c:pt idx="67">
                  <c:v>33.304687999999999</c:v>
                </c:pt>
                <c:pt idx="68">
                  <c:v>33.304687999999999</c:v>
                </c:pt>
                <c:pt idx="69">
                  <c:v>33.597656000000001</c:v>
                </c:pt>
                <c:pt idx="70">
                  <c:v>33.597656000000001</c:v>
                </c:pt>
                <c:pt idx="71">
                  <c:v>33.304687999999999</c:v>
                </c:pt>
                <c:pt idx="72">
                  <c:v>33.597656000000001</c:v>
                </c:pt>
                <c:pt idx="73">
                  <c:v>33.304687999999999</c:v>
                </c:pt>
                <c:pt idx="74">
                  <c:v>33.304687999999999</c:v>
                </c:pt>
                <c:pt idx="75">
                  <c:v>33.597656000000001</c:v>
                </c:pt>
                <c:pt idx="76">
                  <c:v>33.304687999999999</c:v>
                </c:pt>
                <c:pt idx="77">
                  <c:v>33.597656000000001</c:v>
                </c:pt>
                <c:pt idx="78">
                  <c:v>33.597656000000001</c:v>
                </c:pt>
                <c:pt idx="79">
                  <c:v>33.304687999999999</c:v>
                </c:pt>
                <c:pt idx="80">
                  <c:v>33.011718999999999</c:v>
                </c:pt>
                <c:pt idx="81">
                  <c:v>33.597656000000001</c:v>
                </c:pt>
                <c:pt idx="82">
                  <c:v>33.304687999999999</c:v>
                </c:pt>
                <c:pt idx="83">
                  <c:v>33.597656000000001</c:v>
                </c:pt>
                <c:pt idx="84">
                  <c:v>33.597656000000001</c:v>
                </c:pt>
                <c:pt idx="85">
                  <c:v>33.890625</c:v>
                </c:pt>
                <c:pt idx="86">
                  <c:v>33.304687999999999</c:v>
                </c:pt>
                <c:pt idx="87">
                  <c:v>33.597656000000001</c:v>
                </c:pt>
                <c:pt idx="88">
                  <c:v>33.597656000000001</c:v>
                </c:pt>
                <c:pt idx="89">
                  <c:v>33.597656000000001</c:v>
                </c:pt>
                <c:pt idx="90">
                  <c:v>33.304687999999999</c:v>
                </c:pt>
                <c:pt idx="91">
                  <c:v>33.011718999999999</c:v>
                </c:pt>
                <c:pt idx="92">
                  <c:v>33.597656000000001</c:v>
                </c:pt>
                <c:pt idx="93">
                  <c:v>33.304687999999999</c:v>
                </c:pt>
                <c:pt idx="94">
                  <c:v>33.597656000000001</c:v>
                </c:pt>
                <c:pt idx="95">
                  <c:v>33.597656000000001</c:v>
                </c:pt>
                <c:pt idx="96">
                  <c:v>33.597656000000001</c:v>
                </c:pt>
                <c:pt idx="97">
                  <c:v>33.597656000000001</c:v>
                </c:pt>
                <c:pt idx="98">
                  <c:v>33.597656000000001</c:v>
                </c:pt>
                <c:pt idx="99">
                  <c:v>33.890625</c:v>
                </c:pt>
                <c:pt idx="100">
                  <c:v>33.304687999999999</c:v>
                </c:pt>
                <c:pt idx="101">
                  <c:v>33.890625</c:v>
                </c:pt>
                <c:pt idx="102">
                  <c:v>33.890625</c:v>
                </c:pt>
                <c:pt idx="103">
                  <c:v>33.597656000000001</c:v>
                </c:pt>
                <c:pt idx="104">
                  <c:v>33.011718999999999</c:v>
                </c:pt>
                <c:pt idx="105">
                  <c:v>33.597656000000001</c:v>
                </c:pt>
                <c:pt idx="106">
                  <c:v>33.597656000000001</c:v>
                </c:pt>
                <c:pt idx="107">
                  <c:v>33.597656000000001</c:v>
                </c:pt>
                <c:pt idx="108">
                  <c:v>34.476562999999999</c:v>
                </c:pt>
                <c:pt idx="109">
                  <c:v>34.476562999999999</c:v>
                </c:pt>
                <c:pt idx="110">
                  <c:v>33.597656000000001</c:v>
                </c:pt>
                <c:pt idx="111">
                  <c:v>33.011718999999999</c:v>
                </c:pt>
                <c:pt idx="112">
                  <c:v>34.183593999999999</c:v>
                </c:pt>
                <c:pt idx="113">
                  <c:v>33.890625</c:v>
                </c:pt>
                <c:pt idx="114">
                  <c:v>33.597656000000001</c:v>
                </c:pt>
                <c:pt idx="115">
                  <c:v>33.597656000000001</c:v>
                </c:pt>
                <c:pt idx="116">
                  <c:v>33.597656000000001</c:v>
                </c:pt>
                <c:pt idx="117">
                  <c:v>33.597656000000001</c:v>
                </c:pt>
                <c:pt idx="118">
                  <c:v>33.597656000000001</c:v>
                </c:pt>
                <c:pt idx="119">
                  <c:v>33.597656000000001</c:v>
                </c:pt>
                <c:pt idx="120">
                  <c:v>33.597656000000001</c:v>
                </c:pt>
                <c:pt idx="121">
                  <c:v>34.183593999999999</c:v>
                </c:pt>
                <c:pt idx="122">
                  <c:v>33.597656000000001</c:v>
                </c:pt>
                <c:pt idx="123">
                  <c:v>34.183593999999999</c:v>
                </c:pt>
                <c:pt idx="124">
                  <c:v>33.597656000000001</c:v>
                </c:pt>
                <c:pt idx="125">
                  <c:v>33.890625</c:v>
                </c:pt>
                <c:pt idx="126">
                  <c:v>33.890625</c:v>
                </c:pt>
                <c:pt idx="127">
                  <c:v>34.183593999999999</c:v>
                </c:pt>
                <c:pt idx="128">
                  <c:v>34.183593999999999</c:v>
                </c:pt>
                <c:pt idx="129">
                  <c:v>34.476562999999999</c:v>
                </c:pt>
                <c:pt idx="130">
                  <c:v>33.597656000000001</c:v>
                </c:pt>
                <c:pt idx="131">
                  <c:v>34.476562999999999</c:v>
                </c:pt>
                <c:pt idx="132">
                  <c:v>33.890625</c:v>
                </c:pt>
                <c:pt idx="133">
                  <c:v>33.597656000000001</c:v>
                </c:pt>
                <c:pt idx="134">
                  <c:v>33.890625</c:v>
                </c:pt>
                <c:pt idx="135">
                  <c:v>33.597656000000001</c:v>
                </c:pt>
                <c:pt idx="136">
                  <c:v>33.597656000000001</c:v>
                </c:pt>
                <c:pt idx="137">
                  <c:v>34.476562999999999</c:v>
                </c:pt>
                <c:pt idx="138">
                  <c:v>33.890625</c:v>
                </c:pt>
                <c:pt idx="139">
                  <c:v>33.890625</c:v>
                </c:pt>
                <c:pt idx="140">
                  <c:v>33.890625</c:v>
                </c:pt>
                <c:pt idx="141">
                  <c:v>34.183593999999999</c:v>
                </c:pt>
                <c:pt idx="142">
                  <c:v>34.183593999999999</c:v>
                </c:pt>
                <c:pt idx="143">
                  <c:v>34.183593999999999</c:v>
                </c:pt>
                <c:pt idx="144">
                  <c:v>33.890625</c:v>
                </c:pt>
                <c:pt idx="145">
                  <c:v>34.183593999999999</c:v>
                </c:pt>
                <c:pt idx="146">
                  <c:v>34.476562999999999</c:v>
                </c:pt>
                <c:pt idx="147">
                  <c:v>34.183593999999999</c:v>
                </c:pt>
                <c:pt idx="148">
                  <c:v>33.597656000000001</c:v>
                </c:pt>
                <c:pt idx="149">
                  <c:v>34.183593999999999</c:v>
                </c:pt>
                <c:pt idx="150">
                  <c:v>34.183593999999999</c:v>
                </c:pt>
                <c:pt idx="151">
                  <c:v>34.183593999999999</c:v>
                </c:pt>
                <c:pt idx="152">
                  <c:v>33.597656000000001</c:v>
                </c:pt>
                <c:pt idx="153">
                  <c:v>33.597656000000001</c:v>
                </c:pt>
                <c:pt idx="154">
                  <c:v>33.597656000000001</c:v>
                </c:pt>
                <c:pt idx="155">
                  <c:v>33.890625</c:v>
                </c:pt>
                <c:pt idx="156">
                  <c:v>34.476562999999999</c:v>
                </c:pt>
                <c:pt idx="157">
                  <c:v>34.183593999999999</c:v>
                </c:pt>
                <c:pt idx="158">
                  <c:v>34.476562999999999</c:v>
                </c:pt>
                <c:pt idx="159">
                  <c:v>33.597656000000001</c:v>
                </c:pt>
                <c:pt idx="160">
                  <c:v>34.183593999999999</c:v>
                </c:pt>
                <c:pt idx="161">
                  <c:v>34.183593999999999</c:v>
                </c:pt>
                <c:pt idx="162">
                  <c:v>34.476562999999999</c:v>
                </c:pt>
                <c:pt idx="163">
                  <c:v>34.183593999999999</c:v>
                </c:pt>
                <c:pt idx="164">
                  <c:v>33.597656000000001</c:v>
                </c:pt>
                <c:pt idx="165">
                  <c:v>33.597656000000001</c:v>
                </c:pt>
                <c:pt idx="166">
                  <c:v>34.476562999999999</c:v>
                </c:pt>
                <c:pt idx="167">
                  <c:v>33.597656000000001</c:v>
                </c:pt>
                <c:pt idx="168">
                  <c:v>34.183593999999999</c:v>
                </c:pt>
                <c:pt idx="169">
                  <c:v>34.476562999999999</c:v>
                </c:pt>
                <c:pt idx="170">
                  <c:v>34.183593999999999</c:v>
                </c:pt>
                <c:pt idx="171">
                  <c:v>34.476562999999999</c:v>
                </c:pt>
                <c:pt idx="172">
                  <c:v>34.476562999999999</c:v>
                </c:pt>
                <c:pt idx="173">
                  <c:v>34.476562999999999</c:v>
                </c:pt>
                <c:pt idx="174">
                  <c:v>34.183593999999999</c:v>
                </c:pt>
                <c:pt idx="175">
                  <c:v>33.597656000000001</c:v>
                </c:pt>
                <c:pt idx="176">
                  <c:v>34.183593999999999</c:v>
                </c:pt>
                <c:pt idx="177">
                  <c:v>33.597656000000001</c:v>
                </c:pt>
                <c:pt idx="178">
                  <c:v>34.476562999999999</c:v>
                </c:pt>
                <c:pt idx="179">
                  <c:v>34.769531000000001</c:v>
                </c:pt>
                <c:pt idx="180">
                  <c:v>34.476562999999999</c:v>
                </c:pt>
                <c:pt idx="181">
                  <c:v>34.183593999999999</c:v>
                </c:pt>
                <c:pt idx="182">
                  <c:v>34.476562999999999</c:v>
                </c:pt>
                <c:pt idx="183">
                  <c:v>34.183593999999999</c:v>
                </c:pt>
                <c:pt idx="184">
                  <c:v>34.476562999999999</c:v>
                </c:pt>
                <c:pt idx="185">
                  <c:v>33.597656000000001</c:v>
                </c:pt>
                <c:pt idx="186">
                  <c:v>34.476562999999999</c:v>
                </c:pt>
                <c:pt idx="187">
                  <c:v>34.476562999999999</c:v>
                </c:pt>
                <c:pt idx="188">
                  <c:v>34.476562999999999</c:v>
                </c:pt>
                <c:pt idx="189">
                  <c:v>34.476562999999999</c:v>
                </c:pt>
                <c:pt idx="190">
                  <c:v>34.476562999999999</c:v>
                </c:pt>
                <c:pt idx="191">
                  <c:v>34.769531000000001</c:v>
                </c:pt>
                <c:pt idx="192">
                  <c:v>34.183593999999999</c:v>
                </c:pt>
                <c:pt idx="193">
                  <c:v>34.476562999999999</c:v>
                </c:pt>
                <c:pt idx="194">
                  <c:v>34.476562999999999</c:v>
                </c:pt>
                <c:pt idx="195">
                  <c:v>34.769531000000001</c:v>
                </c:pt>
                <c:pt idx="196">
                  <c:v>34.769531000000001</c:v>
                </c:pt>
                <c:pt idx="197">
                  <c:v>34.769531000000001</c:v>
                </c:pt>
                <c:pt idx="198">
                  <c:v>34.769531000000001</c:v>
                </c:pt>
                <c:pt idx="199">
                  <c:v>33.597656000000001</c:v>
                </c:pt>
                <c:pt idx="200">
                  <c:v>35.0625</c:v>
                </c:pt>
                <c:pt idx="201">
                  <c:v>34.769531000000001</c:v>
                </c:pt>
                <c:pt idx="202">
                  <c:v>34.476562999999999</c:v>
                </c:pt>
                <c:pt idx="203">
                  <c:v>34.476562999999999</c:v>
                </c:pt>
                <c:pt idx="204">
                  <c:v>34.769531000000001</c:v>
                </c:pt>
                <c:pt idx="205">
                  <c:v>34.769531000000001</c:v>
                </c:pt>
                <c:pt idx="206">
                  <c:v>34.769531000000001</c:v>
                </c:pt>
                <c:pt idx="207">
                  <c:v>35.0625</c:v>
                </c:pt>
                <c:pt idx="208">
                  <c:v>34.183593999999999</c:v>
                </c:pt>
                <c:pt idx="209">
                  <c:v>34.769531000000001</c:v>
                </c:pt>
                <c:pt idx="210">
                  <c:v>34.769531000000001</c:v>
                </c:pt>
                <c:pt idx="211">
                  <c:v>34.769531000000001</c:v>
                </c:pt>
                <c:pt idx="212">
                  <c:v>34.769531000000001</c:v>
                </c:pt>
                <c:pt idx="213">
                  <c:v>34.476562999999999</c:v>
                </c:pt>
                <c:pt idx="214">
                  <c:v>34.769531000000001</c:v>
                </c:pt>
                <c:pt idx="215">
                  <c:v>34.769531000000001</c:v>
                </c:pt>
                <c:pt idx="216">
                  <c:v>34.769531000000001</c:v>
                </c:pt>
                <c:pt idx="217">
                  <c:v>34.476562999999999</c:v>
                </c:pt>
                <c:pt idx="218">
                  <c:v>34.769531000000001</c:v>
                </c:pt>
                <c:pt idx="219">
                  <c:v>34.769531000000001</c:v>
                </c:pt>
                <c:pt idx="220">
                  <c:v>34.769531000000001</c:v>
                </c:pt>
                <c:pt idx="221">
                  <c:v>34.769531000000001</c:v>
                </c:pt>
                <c:pt idx="222">
                  <c:v>35.0625</c:v>
                </c:pt>
                <c:pt idx="223">
                  <c:v>34.769531000000001</c:v>
                </c:pt>
                <c:pt idx="224">
                  <c:v>34.769531000000001</c:v>
                </c:pt>
                <c:pt idx="225">
                  <c:v>35.0625</c:v>
                </c:pt>
                <c:pt idx="226">
                  <c:v>35.0625</c:v>
                </c:pt>
                <c:pt idx="227">
                  <c:v>35.0625</c:v>
                </c:pt>
                <c:pt idx="228">
                  <c:v>35.0625</c:v>
                </c:pt>
                <c:pt idx="229">
                  <c:v>35.0625</c:v>
                </c:pt>
                <c:pt idx="230">
                  <c:v>35.0625</c:v>
                </c:pt>
                <c:pt idx="231">
                  <c:v>35.0625</c:v>
                </c:pt>
                <c:pt idx="232">
                  <c:v>34.769531000000001</c:v>
                </c:pt>
                <c:pt idx="233">
                  <c:v>35.0625</c:v>
                </c:pt>
                <c:pt idx="234">
                  <c:v>35.0625</c:v>
                </c:pt>
                <c:pt idx="235">
                  <c:v>34.769531000000001</c:v>
                </c:pt>
                <c:pt idx="236">
                  <c:v>35.0625</c:v>
                </c:pt>
                <c:pt idx="237">
                  <c:v>35.0625</c:v>
                </c:pt>
                <c:pt idx="238">
                  <c:v>35.0625</c:v>
                </c:pt>
                <c:pt idx="239">
                  <c:v>35.0625</c:v>
                </c:pt>
                <c:pt idx="240">
                  <c:v>35.0625</c:v>
                </c:pt>
                <c:pt idx="241">
                  <c:v>34.769531000000001</c:v>
                </c:pt>
                <c:pt idx="242">
                  <c:v>35.0625</c:v>
                </c:pt>
                <c:pt idx="243">
                  <c:v>34.769531000000001</c:v>
                </c:pt>
                <c:pt idx="244">
                  <c:v>35.0625</c:v>
                </c:pt>
                <c:pt idx="245">
                  <c:v>35.0625</c:v>
                </c:pt>
                <c:pt idx="246">
                  <c:v>35.355468999999999</c:v>
                </c:pt>
                <c:pt idx="247">
                  <c:v>34.769531000000001</c:v>
                </c:pt>
                <c:pt idx="248">
                  <c:v>34.769531000000001</c:v>
                </c:pt>
                <c:pt idx="249">
                  <c:v>35.0625</c:v>
                </c:pt>
                <c:pt idx="250">
                  <c:v>35.648437999999999</c:v>
                </c:pt>
                <c:pt idx="251">
                  <c:v>35.0625</c:v>
                </c:pt>
                <c:pt idx="252">
                  <c:v>35.355468999999999</c:v>
                </c:pt>
                <c:pt idx="253">
                  <c:v>35.355468999999999</c:v>
                </c:pt>
                <c:pt idx="254">
                  <c:v>34.769531000000001</c:v>
                </c:pt>
                <c:pt idx="255">
                  <c:v>34.769531000000001</c:v>
                </c:pt>
                <c:pt idx="256">
                  <c:v>34.769531000000001</c:v>
                </c:pt>
                <c:pt idx="257">
                  <c:v>35.355468999999999</c:v>
                </c:pt>
                <c:pt idx="258">
                  <c:v>35.0625</c:v>
                </c:pt>
                <c:pt idx="259">
                  <c:v>35.355468999999999</c:v>
                </c:pt>
                <c:pt idx="260">
                  <c:v>34.769531000000001</c:v>
                </c:pt>
                <c:pt idx="261">
                  <c:v>35.0625</c:v>
                </c:pt>
                <c:pt idx="262">
                  <c:v>35.0625</c:v>
                </c:pt>
                <c:pt idx="263">
                  <c:v>35.0625</c:v>
                </c:pt>
                <c:pt idx="264">
                  <c:v>35.355468999999999</c:v>
                </c:pt>
                <c:pt idx="265">
                  <c:v>35.648437999999999</c:v>
                </c:pt>
                <c:pt idx="266">
                  <c:v>35.648437999999999</c:v>
                </c:pt>
                <c:pt idx="267">
                  <c:v>35.648437999999999</c:v>
                </c:pt>
                <c:pt idx="268">
                  <c:v>35.0625</c:v>
                </c:pt>
                <c:pt idx="269">
                  <c:v>35.355468999999999</c:v>
                </c:pt>
                <c:pt idx="270">
                  <c:v>35.0625</c:v>
                </c:pt>
                <c:pt idx="271">
                  <c:v>35.0625</c:v>
                </c:pt>
                <c:pt idx="272">
                  <c:v>35.648437999999999</c:v>
                </c:pt>
                <c:pt idx="273">
                  <c:v>35.355468999999999</c:v>
                </c:pt>
                <c:pt idx="274">
                  <c:v>35.648437999999999</c:v>
                </c:pt>
                <c:pt idx="275">
                  <c:v>35.648437999999999</c:v>
                </c:pt>
                <c:pt idx="276">
                  <c:v>35.0625</c:v>
                </c:pt>
                <c:pt idx="277">
                  <c:v>35.0625</c:v>
                </c:pt>
                <c:pt idx="278">
                  <c:v>35.0625</c:v>
                </c:pt>
                <c:pt idx="279">
                  <c:v>35.648437999999999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KalmanFilter!$F$1</c:f>
              <c:strCache>
                <c:ptCount val="1"/>
                <c:pt idx="0">
                  <c:v>Xk (Estimate)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KalmanFilter!$A$2:$A$281</c:f>
              <c:numCache>
                <c:formatCode>0</c:formatCode>
                <c:ptCount val="2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</c:numCache>
            </c:numRef>
          </c:xVal>
          <c:yVal>
            <c:numRef>
              <c:f>KalmanFilter!$F$2:$F$281</c:f>
              <c:numCache>
                <c:formatCode>0.000</c:formatCode>
                <c:ptCount val="280"/>
                <c:pt idx="0">
                  <c:v>0</c:v>
                </c:pt>
                <c:pt idx="1">
                  <c:v>21.40273853324808</c:v>
                </c:pt>
                <c:pt idx="2">
                  <c:v>25.958047050623836</c:v>
                </c:pt>
                <c:pt idx="3">
                  <c:v>27.984393343803312</c:v>
                </c:pt>
                <c:pt idx="4">
                  <c:v>29.146132594970972</c:v>
                </c:pt>
                <c:pt idx="5">
                  <c:v>29.969960526705695</c:v>
                </c:pt>
                <c:pt idx="6">
                  <c:v>30.442998874112895</c:v>
                </c:pt>
                <c:pt idx="7">
                  <c:v>30.902881183449669</c:v>
                </c:pt>
                <c:pt idx="8">
                  <c:v>31.260899645069184</c:v>
                </c:pt>
                <c:pt idx="9">
                  <c:v>31.546874070679436</c:v>
                </c:pt>
                <c:pt idx="10">
                  <c:v>31.779506051922773</c:v>
                </c:pt>
                <c:pt idx="11">
                  <c:v>31.971231059508305</c:v>
                </c:pt>
                <c:pt idx="12">
                  <c:v>32.13073244173632</c:v>
                </c:pt>
                <c:pt idx="13">
                  <c:v>32.264328074375989</c:v>
                </c:pt>
                <c:pt idx="14">
                  <c:v>32.420853231123964</c:v>
                </c:pt>
                <c:pt idx="15">
                  <c:v>32.553068660981353</c:v>
                </c:pt>
                <c:pt idx="16">
                  <c:v>32.665037809871414</c:v>
                </c:pt>
                <c:pt idx="17">
                  <c:v>32.716526747669334</c:v>
                </c:pt>
                <c:pt idx="18">
                  <c:v>32.760272012392839</c:v>
                </c:pt>
                <c:pt idx="19">
                  <c:v>32.840821107182251</c:v>
                </c:pt>
                <c:pt idx="20">
                  <c:v>32.909372592212378</c:v>
                </c:pt>
                <c:pt idx="21">
                  <c:v>32.924484801333556</c:v>
                </c:pt>
                <c:pt idx="22">
                  <c:v>32.980590043772409</c:v>
                </c:pt>
                <c:pt idx="23">
                  <c:v>32.985181575759391</c:v>
                </c:pt>
                <c:pt idx="24">
                  <c:v>32.902696674411317</c:v>
                </c:pt>
                <c:pt idx="25">
                  <c:v>32.961957179346953</c:v>
                </c:pt>
                <c:pt idx="26">
                  <c:v>33.012472954654363</c:v>
                </c:pt>
                <c:pt idx="27">
                  <c:v>33.055537716271957</c:v>
                </c:pt>
                <c:pt idx="28">
                  <c:v>33.092252529050043</c:v>
                </c:pt>
                <c:pt idx="29">
                  <c:v>33.080385885083999</c:v>
                </c:pt>
                <c:pt idx="30">
                  <c:v>33.070268282281376</c:v>
                </c:pt>
                <c:pt idx="31">
                  <c:v>33.061641741956159</c:v>
                </c:pt>
                <c:pt idx="32">
                  <c:v>33.054286406880323</c:v>
                </c:pt>
                <c:pt idx="33">
                  <c:v>33.091178482099401</c:v>
                </c:pt>
                <c:pt idx="34">
                  <c:v>33.079471744419806</c:v>
                </c:pt>
                <c:pt idx="35">
                  <c:v>33.155814902866261</c:v>
                </c:pt>
                <c:pt idx="36">
                  <c:v>33.134585662462243</c:v>
                </c:pt>
                <c:pt idx="37">
                  <c:v>33.202808148390318</c:v>
                </c:pt>
                <c:pt idx="38">
                  <c:v>33.217817683786166</c:v>
                </c:pt>
                <c:pt idx="39">
                  <c:v>33.230615891702463</c:v>
                </c:pt>
                <c:pt idx="40">
                  <c:v>33.241528576274703</c:v>
                </c:pt>
                <c:pt idx="41">
                  <c:v>33.250833534500075</c:v>
                </c:pt>
                <c:pt idx="42">
                  <c:v>33.215606037368374</c:v>
                </c:pt>
                <c:pt idx="43">
                  <c:v>33.185568446574024</c:v>
                </c:pt>
                <c:pt idx="44">
                  <c:v>33.159956148192357</c:v>
                </c:pt>
                <c:pt idx="45">
                  <c:v>33.224440073235193</c:v>
                </c:pt>
                <c:pt idx="46">
                  <c:v>33.236262557877424</c:v>
                </c:pt>
                <c:pt idx="47">
                  <c:v>33.246343298884184</c:v>
                </c:pt>
                <c:pt idx="48">
                  <c:v>33.254938898877256</c:v>
                </c:pt>
                <c:pt idx="49">
                  <c:v>33.305429495683413</c:v>
                </c:pt>
                <c:pt idx="50">
                  <c:v>33.305320255273777</c:v>
                </c:pt>
                <c:pt idx="51">
                  <c:v>33.305227108647941</c:v>
                </c:pt>
                <c:pt idx="52">
                  <c:v>33.348309016345468</c:v>
                </c:pt>
                <c:pt idx="53">
                  <c:v>33.341882576974321</c:v>
                </c:pt>
                <c:pt idx="54">
                  <c:v>33.293241432426697</c:v>
                </c:pt>
                <c:pt idx="55">
                  <c:v>33.338089119360475</c:v>
                </c:pt>
                <c:pt idx="56">
                  <c:v>33.333168320273508</c:v>
                </c:pt>
                <c:pt idx="57">
                  <c:v>33.372133802460063</c:v>
                </c:pt>
                <c:pt idx="58">
                  <c:v>33.319035917183733</c:v>
                </c:pt>
                <c:pt idx="59">
                  <c:v>33.27376064484541</c:v>
                </c:pt>
                <c:pt idx="60">
                  <c:v>33.321478325012514</c:v>
                </c:pt>
                <c:pt idx="61">
                  <c:v>33.275843226737329</c:v>
                </c:pt>
                <c:pt idx="62">
                  <c:v>33.280092764859091</c:v>
                </c:pt>
                <c:pt idx="63">
                  <c:v>33.2837162424388</c:v>
                </c:pt>
                <c:pt idx="64">
                  <c:v>33.286805893455465</c:v>
                </c:pt>
                <c:pt idx="65">
                  <c:v>33.332601690219427</c:v>
                </c:pt>
                <c:pt idx="66">
                  <c:v>33.371650649960792</c:v>
                </c:pt>
                <c:pt idx="67">
                  <c:v>33.361785419609667</c:v>
                </c:pt>
                <c:pt idx="68">
                  <c:v>33.353373578126615</c:v>
                </c:pt>
                <c:pt idx="69">
                  <c:v>33.389362332496738</c:v>
                </c:pt>
                <c:pt idx="70">
                  <c:v>33.420049066229325</c:v>
                </c:pt>
                <c:pt idx="71">
                  <c:v>33.403053569608808</c:v>
                </c:pt>
                <c:pt idx="72">
                  <c:v>33.431723250428504</c:v>
                </c:pt>
                <c:pt idx="73">
                  <c:v>33.413007861956132</c:v>
                </c:pt>
                <c:pt idx="74">
                  <c:v>33.397049706335025</c:v>
                </c:pt>
                <c:pt idx="75">
                  <c:v>33.426603902536677</c:v>
                </c:pt>
                <c:pt idx="76">
                  <c:v>33.408642718778339</c:v>
                </c:pt>
                <c:pt idx="77">
                  <c:v>33.436488981703036</c:v>
                </c:pt>
                <c:pt idx="78">
                  <c:v>33.460232811434103</c:v>
                </c:pt>
                <c:pt idx="79">
                  <c:v>33.43731726979761</c:v>
                </c:pt>
                <c:pt idx="80">
                  <c:v>33.374616272046602</c:v>
                </c:pt>
                <c:pt idx="81">
                  <c:v>33.407475459860926</c:v>
                </c:pt>
                <c:pt idx="82">
                  <c:v>33.392332361904749</c:v>
                </c:pt>
                <c:pt idx="83">
                  <c:v>33.422581537909245</c:v>
                </c:pt>
                <c:pt idx="84">
                  <c:v>33.448374273060423</c:v>
                </c:pt>
                <c:pt idx="85">
                  <c:v>33.513528583598543</c:v>
                </c:pt>
                <c:pt idx="86">
                  <c:v>33.482761275807121</c:v>
                </c:pt>
                <c:pt idx="87">
                  <c:v>33.499688068875493</c:v>
                </c:pt>
                <c:pt idx="88">
                  <c:v>33.514121132787956</c:v>
                </c:pt>
                <c:pt idx="89">
                  <c:v>33.526427854625915</c:v>
                </c:pt>
                <c:pt idx="90">
                  <c:v>33.493760169833365</c:v>
                </c:pt>
                <c:pt idx="91">
                  <c:v>33.422743757291236</c:v>
                </c:pt>
                <c:pt idx="92">
                  <c:v>33.44851259357376</c:v>
                </c:pt>
                <c:pt idx="93">
                  <c:v>33.427323725671734</c:v>
                </c:pt>
                <c:pt idx="94">
                  <c:v>33.452417820989595</c:v>
                </c:pt>
                <c:pt idx="95">
                  <c:v>33.4738149444781</c:v>
                </c:pt>
                <c:pt idx="96">
                  <c:v>33.492059750189682</c:v>
                </c:pt>
                <c:pt idx="97">
                  <c:v>33.507616651360635</c:v>
                </c:pt>
                <c:pt idx="98">
                  <c:v>33.520881641838947</c:v>
                </c:pt>
                <c:pt idx="99">
                  <c:v>33.575353849818491</c:v>
                </c:pt>
                <c:pt idx="100">
                  <c:v>33.535478173518037</c:v>
                </c:pt>
                <c:pt idx="101">
                  <c:v>33.587799956637056</c:v>
                </c:pt>
                <c:pt idx="102">
                  <c:v>33.632413465925019</c:v>
                </c:pt>
                <c:pt idx="103">
                  <c:v>33.627292844091201</c:v>
                </c:pt>
                <c:pt idx="104">
                  <c:v>33.536603814195232</c:v>
                </c:pt>
                <c:pt idx="105">
                  <c:v>33.545598289117791</c:v>
                </c:pt>
                <c:pt idx="106">
                  <c:v>33.553267658672439</c:v>
                </c:pt>
                <c:pt idx="107">
                  <c:v>33.559807143175114</c:v>
                </c:pt>
                <c:pt idx="108">
                  <c:v>33.69486762390369</c:v>
                </c:pt>
                <c:pt idx="109">
                  <c:v>33.810030404149821</c:v>
                </c:pt>
                <c:pt idx="110">
                  <c:v>33.778742478465588</c:v>
                </c:pt>
                <c:pt idx="111">
                  <c:v>33.665741226321465</c:v>
                </c:pt>
                <c:pt idx="112">
                  <c:v>33.742033560904289</c:v>
                </c:pt>
                <c:pt idx="113">
                  <c:v>33.763924701328442</c:v>
                </c:pt>
                <c:pt idx="114">
                  <c:v>33.739429269350168</c:v>
                </c:pt>
                <c:pt idx="115">
                  <c:v>33.718542611500808</c:v>
                </c:pt>
                <c:pt idx="116">
                  <c:v>33.700733067398744</c:v>
                </c:pt>
                <c:pt idx="117">
                  <c:v>33.685547303194106</c:v>
                </c:pt>
                <c:pt idx="118">
                  <c:v>33.672598772161678</c:v>
                </c:pt>
                <c:pt idx="119">
                  <c:v>33.661557875329727</c:v>
                </c:pt>
                <c:pt idx="120">
                  <c:v>33.652143571687986</c:v>
                </c:pt>
                <c:pt idx="121">
                  <c:v>33.730439172198061</c:v>
                </c:pt>
                <c:pt idx="122">
                  <c:v>33.710876974764332</c:v>
                </c:pt>
                <c:pt idx="123">
                  <c:v>33.780519713560722</c:v>
                </c:pt>
                <c:pt idx="124">
                  <c:v>33.753579431829813</c:v>
                </c:pt>
                <c:pt idx="125">
                  <c:v>33.773769584072625</c:v>
                </c:pt>
                <c:pt idx="126">
                  <c:v>33.790985234819104</c:v>
                </c:pt>
                <c:pt idx="127">
                  <c:v>33.848826074524496</c:v>
                </c:pt>
                <c:pt idx="128">
                  <c:v>33.898145548854146</c:v>
                </c:pt>
                <c:pt idx="129">
                  <c:v>33.983360536499958</c:v>
                </c:pt>
                <c:pt idx="130">
                  <c:v>33.926536857947958</c:v>
                </c:pt>
                <c:pt idx="131">
                  <c:v>34.007569113816082</c:v>
                </c:pt>
                <c:pt idx="132">
                  <c:v>33.990340395708863</c:v>
                </c:pt>
                <c:pt idx="133">
                  <c:v>33.932488413783446</c:v>
                </c:pt>
                <c:pt idx="134">
                  <c:v>33.926320912645124</c:v>
                </c:pt>
                <c:pt idx="135">
                  <c:v>33.877900560846982</c:v>
                </c:pt>
                <c:pt idx="136">
                  <c:v>33.836613706961309</c:v>
                </c:pt>
                <c:pt idx="137">
                  <c:v>33.930893834561552</c:v>
                </c:pt>
                <c:pt idx="138">
                  <c:v>33.924961253805428</c:v>
                </c:pt>
                <c:pt idx="139">
                  <c:v>33.919902686782535</c:v>
                </c:pt>
                <c:pt idx="140">
                  <c:v>33.91558936996865</c:v>
                </c:pt>
                <c:pt idx="141">
                  <c:v>33.955072983735661</c:v>
                </c:pt>
                <c:pt idx="142">
                  <c:v>33.988739698906855</c:v>
                </c:pt>
                <c:pt idx="143">
                  <c:v>34.01744648641386</c:v>
                </c:pt>
                <c:pt idx="144">
                  <c:v>33.998762590593337</c:v>
                </c:pt>
                <c:pt idx="145">
                  <c:v>34.025992761878705</c:v>
                </c:pt>
                <c:pt idx="146">
                  <c:v>34.092372739175403</c:v>
                </c:pt>
                <c:pt idx="147">
                  <c:v>34.105811854123964</c:v>
                </c:pt>
                <c:pt idx="148">
                  <c:v>34.030948112123205</c:v>
                </c:pt>
                <c:pt idx="149">
                  <c:v>34.053436571667149</c:v>
                </c:pt>
                <c:pt idx="150">
                  <c:v>34.072611933035347</c:v>
                </c:pt>
                <c:pt idx="151">
                  <c:v>34.088962296335353</c:v>
                </c:pt>
                <c:pt idx="152">
                  <c:v>34.016580904851423</c:v>
                </c:pt>
                <c:pt idx="153">
                  <c:v>33.954863056400072</c:v>
                </c:pt>
                <c:pt idx="154">
                  <c:v>33.902237751202541</c:v>
                </c:pt>
                <c:pt idx="155">
                  <c:v>33.900526909926405</c:v>
                </c:pt>
                <c:pt idx="156">
                  <c:v>33.985391065048148</c:v>
                </c:pt>
                <c:pt idx="157">
                  <c:v>34.014591187934876</c:v>
                </c:pt>
                <c:pt idx="158">
                  <c:v>34.082650894950724</c:v>
                </c:pt>
                <c:pt idx="159">
                  <c:v>34.01119932671115</c:v>
                </c:pt>
                <c:pt idx="160">
                  <c:v>34.03659726366034</c:v>
                </c:pt>
                <c:pt idx="161">
                  <c:v>34.058253465502702</c:v>
                </c:pt>
                <c:pt idx="162">
                  <c:v>34.119880654903191</c:v>
                </c:pt>
                <c:pt idx="163">
                  <c:v>34.129267183446792</c:v>
                </c:pt>
                <c:pt idx="164">
                  <c:v>34.050947899787474</c:v>
                </c:pt>
                <c:pt idx="165">
                  <c:v>33.984166955395473</c:v>
                </c:pt>
                <c:pt idx="166">
                  <c:v>34.056708893358618</c:v>
                </c:pt>
                <c:pt idx="167">
                  <c:v>33.989079214207628</c:v>
                </c:pt>
                <c:pt idx="168">
                  <c:v>34.017735982836214</c:v>
                </c:pt>
                <c:pt idx="169">
                  <c:v>34.085332384918694</c:v>
                </c:pt>
                <c:pt idx="170">
                  <c:v>34.099808715635589</c:v>
                </c:pt>
                <c:pt idx="171">
                  <c:v>34.155313803913991</c:v>
                </c:pt>
                <c:pt idx="172">
                  <c:v>34.202641639928387</c:v>
                </c:pt>
                <c:pt idx="173">
                  <c:v>34.242996932231868</c:v>
                </c:pt>
                <c:pt idx="174">
                  <c:v>34.234245432555923</c:v>
                </c:pt>
                <c:pt idx="175">
                  <c:v>34.14046029429074</c:v>
                </c:pt>
                <c:pt idx="176">
                  <c:v>34.146814940389078</c:v>
                </c:pt>
                <c:pt idx="177">
                  <c:v>34.065910444461203</c:v>
                </c:pt>
                <c:pt idx="178">
                  <c:v>34.126409574246509</c:v>
                </c:pt>
                <c:pt idx="179">
                  <c:v>34.221157034306323</c:v>
                </c:pt>
                <c:pt idx="180">
                  <c:v>34.258784557763882</c:v>
                </c:pt>
                <c:pt idx="181">
                  <c:v>34.247707156073737</c:v>
                </c:pt>
                <c:pt idx="182">
                  <c:v>34.281423199519892</c:v>
                </c:pt>
                <c:pt idx="183">
                  <c:v>34.26701057415395</c:v>
                </c:pt>
                <c:pt idx="184">
                  <c:v>34.297882753657255</c:v>
                </c:pt>
                <c:pt idx="185">
                  <c:v>34.194722287035852</c:v>
                </c:pt>
                <c:pt idx="186">
                  <c:v>34.236244293029529</c:v>
                </c:pt>
                <c:pt idx="187">
                  <c:v>34.271649095573054</c:v>
                </c:pt>
                <c:pt idx="188">
                  <c:v>34.301837907822069</c:v>
                </c:pt>
                <c:pt idx="189">
                  <c:v>34.327579172270191</c:v>
                </c:pt>
                <c:pt idx="190">
                  <c:v>34.349528121103376</c:v>
                </c:pt>
                <c:pt idx="191">
                  <c:v>34.411404781403789</c:v>
                </c:pt>
                <c:pt idx="192">
                  <c:v>34.377842701137283</c:v>
                </c:pt>
                <c:pt idx="193">
                  <c:v>34.392386607154144</c:v>
                </c:pt>
                <c:pt idx="194">
                  <c:v>34.404787841353112</c:v>
                </c:pt>
                <c:pt idx="195">
                  <c:v>34.458523398080203</c:v>
                </c:pt>
                <c:pt idx="196">
                  <c:v>34.504342397667521</c:v>
                </c:pt>
                <c:pt idx="197">
                  <c:v>34.543411141922739</c:v>
                </c:pt>
                <c:pt idx="198">
                  <c:v>34.576724107972353</c:v>
                </c:pt>
                <c:pt idx="199">
                  <c:v>34.432483513986135</c:v>
                </c:pt>
                <c:pt idx="200">
                  <c:v>34.525300297030931</c:v>
                </c:pt>
                <c:pt idx="201">
                  <c:v>34.561281431927547</c:v>
                </c:pt>
                <c:pt idx="202">
                  <c:v>34.548800342161364</c:v>
                </c:pt>
                <c:pt idx="203">
                  <c:v>34.538158021104742</c:v>
                </c:pt>
                <c:pt idx="204">
                  <c:v>34.572244899879017</c:v>
                </c:pt>
                <c:pt idx="205">
                  <c:v>34.601309950650212</c:v>
                </c:pt>
                <c:pt idx="206">
                  <c:v>34.626093011074325</c:v>
                </c:pt>
                <c:pt idx="207">
                  <c:v>34.690386396580202</c:v>
                </c:pt>
                <c:pt idx="208">
                  <c:v>34.615723525105594</c:v>
                </c:pt>
                <c:pt idx="209">
                  <c:v>34.638383114727233</c:v>
                </c:pt>
                <c:pt idx="210">
                  <c:v>34.657704394541931</c:v>
                </c:pt>
                <c:pt idx="211">
                  <c:v>34.674179178944968</c:v>
                </c:pt>
                <c:pt idx="212">
                  <c:v>34.688226826084787</c:v>
                </c:pt>
                <c:pt idx="213">
                  <c:v>34.657043585867626</c:v>
                </c:pt>
                <c:pt idx="214">
                  <c:v>34.673615723493505</c:v>
                </c:pt>
                <c:pt idx="215">
                  <c:v>34.687746381353762</c:v>
                </c:pt>
                <c:pt idx="216">
                  <c:v>34.699795248921205</c:v>
                </c:pt>
                <c:pt idx="217">
                  <c:v>34.666907698076599</c:v>
                </c:pt>
                <c:pt idx="218">
                  <c:v>34.682026611567629</c:v>
                </c:pt>
                <c:pt idx="219">
                  <c:v>34.69491814062583</c:v>
                </c:pt>
                <c:pt idx="220">
                  <c:v>34.705910433263604</c:v>
                </c:pt>
                <c:pt idx="221">
                  <c:v>34.715283293293538</c:v>
                </c:pt>
                <c:pt idx="222">
                  <c:v>34.76643677649809</c:v>
                </c:pt>
                <c:pt idx="223">
                  <c:v>34.766892631031808</c:v>
                </c:pt>
                <c:pt idx="224">
                  <c:v>34.767281327082706</c:v>
                </c:pt>
                <c:pt idx="225">
                  <c:v>34.810774232622855</c:v>
                </c:pt>
                <c:pt idx="226">
                  <c:v>34.847859573175221</c:v>
                </c:pt>
                <c:pt idx="227">
                  <c:v>34.879481339226594</c:v>
                </c:pt>
                <c:pt idx="228">
                  <c:v>34.906444448458281</c:v>
                </c:pt>
                <c:pt idx="229">
                  <c:v>34.929435234559811</c:v>
                </c:pt>
                <c:pt idx="230">
                  <c:v>34.949038917541046</c:v>
                </c:pt>
                <c:pt idx="231">
                  <c:v>34.965754500241509</c:v>
                </c:pt>
                <c:pt idx="232">
                  <c:v>34.936845996330064</c:v>
                </c:pt>
                <c:pt idx="233">
                  <c:v>34.955357893488717</c:v>
                </c:pt>
                <c:pt idx="234">
                  <c:v>34.971142537027077</c:v>
                </c:pt>
                <c:pt idx="235">
                  <c:v>34.9414402439808</c:v>
                </c:pt>
                <c:pt idx="236">
                  <c:v>34.959275296490269</c:v>
                </c:pt>
                <c:pt idx="237">
                  <c:v>34.974482811092223</c:v>
                </c:pt>
                <c:pt idx="238">
                  <c:v>34.987449888158338</c:v>
                </c:pt>
                <c:pt idx="239">
                  <c:v>34.998506598741216</c:v>
                </c:pt>
                <c:pt idx="240">
                  <c:v>35.007934386382956</c:v>
                </c:pt>
                <c:pt idx="241">
                  <c:v>34.972811757241843</c:v>
                </c:pt>
                <c:pt idx="242">
                  <c:v>34.986025021266762</c:v>
                </c:pt>
                <c:pt idx="243">
                  <c:v>34.954130175578598</c:v>
                </c:pt>
                <c:pt idx="244">
                  <c:v>34.970095691886854</c:v>
                </c:pt>
                <c:pt idx="245">
                  <c:v>34.98370909853405</c:v>
                </c:pt>
                <c:pt idx="246">
                  <c:v>35.03847839248926</c:v>
                </c:pt>
                <c:pt idx="247">
                  <c:v>34.998855886835351</c:v>
                </c:pt>
                <c:pt idx="248">
                  <c:v>34.965070741937254</c:v>
                </c:pt>
                <c:pt idx="249">
                  <c:v>34.979424446179252</c:v>
                </c:pt>
                <c:pt idx="250">
                  <c:v>35.077986447741928</c:v>
                </c:pt>
                <c:pt idx="251">
                  <c:v>35.075704916556461</c:v>
                </c:pt>
                <c:pt idx="252">
                  <c:v>35.116920984410491</c:v>
                </c:pt>
                <c:pt idx="253">
                  <c:v>35.152064920958608</c:v>
                </c:pt>
                <c:pt idx="254">
                  <c:v>35.095708351349558</c:v>
                </c:pt>
                <c:pt idx="255">
                  <c:v>35.047654477956677</c:v>
                </c:pt>
                <c:pt idx="256">
                  <c:v>35.006680111275422</c:v>
                </c:pt>
                <c:pt idx="257">
                  <c:v>35.058065215208195</c:v>
                </c:pt>
                <c:pt idx="258">
                  <c:v>35.058718567091852</c:v>
                </c:pt>
                <c:pt idx="259">
                  <c:v>35.102437138210448</c:v>
                </c:pt>
                <c:pt idx="260">
                  <c:v>35.053391950520108</c:v>
                </c:pt>
                <c:pt idx="261">
                  <c:v>35.054733788188337</c:v>
                </c:pt>
                <c:pt idx="262">
                  <c:v>35.055877940464988</c:v>
                </c:pt>
                <c:pt idx="263">
                  <c:v>35.05685353122621</c:v>
                </c:pt>
                <c:pt idx="264">
                  <c:v>35.100846867582156</c:v>
                </c:pt>
                <c:pt idx="265">
                  <c:v>35.181520387185522</c:v>
                </c:pt>
                <c:pt idx="266">
                  <c:v>35.250308731189968</c:v>
                </c:pt>
                <c:pt idx="267">
                  <c:v>35.308962875624708</c:v>
                </c:pt>
                <c:pt idx="268">
                  <c:v>35.272652887293781</c:v>
                </c:pt>
                <c:pt idx="269">
                  <c:v>35.284853719075663</c:v>
                </c:pt>
                <c:pt idx="270">
                  <c:v>35.252095597088683</c:v>
                </c:pt>
                <c:pt idx="271">
                  <c:v>35.22416354484578</c:v>
                </c:pt>
                <c:pt idx="272">
                  <c:v>35.286669512435068</c:v>
                </c:pt>
                <c:pt idx="273">
                  <c:v>35.296805353722824</c:v>
                </c:pt>
                <c:pt idx="274">
                  <c:v>35.348609412450678</c:v>
                </c:pt>
                <c:pt idx="275">
                  <c:v>35.392781470768185</c:v>
                </c:pt>
                <c:pt idx="276">
                  <c:v>35.344122960560036</c:v>
                </c:pt>
                <c:pt idx="277">
                  <c:v>35.302633034802504</c:v>
                </c:pt>
                <c:pt idx="278">
                  <c:v>35.267255586294496</c:v>
                </c:pt>
                <c:pt idx="279">
                  <c:v>35.323413045946459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421272"/>
        <c:axId val="356422056"/>
      </c:scatterChart>
      <c:valAx>
        <c:axId val="356421272"/>
        <c:scaling>
          <c:orientation val="minMax"/>
          <c:max val="3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22056"/>
        <c:crosses val="autoZero"/>
        <c:crossBetween val="midCat"/>
        <c:majorUnit val="30"/>
      </c:valAx>
      <c:valAx>
        <c:axId val="3564220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2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Running 20-day</a:t>
            </a:r>
            <a:r>
              <a:rPr lang="en-US" baseline="0"/>
              <a:t> </a:t>
            </a:r>
            <a:r>
              <a:rPr lang="en-US"/>
              <a:t>Measurement Variance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KalmanFilter!$J$1</c:f>
              <c:strCache>
                <c:ptCount val="1"/>
                <c:pt idx="0">
                  <c:v>Measurement Variance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KalmanFilter!$A$2:$A$281</c:f>
              <c:numCache>
                <c:formatCode>0</c:formatCode>
                <c:ptCount val="2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</c:numCache>
            </c:numRef>
          </c:xVal>
          <c:yVal>
            <c:numRef>
              <c:f>KalmanFilter!$J$2:$J$281</c:f>
              <c:numCache>
                <c:formatCode>0.00</c:formatCode>
                <c:ptCount val="280"/>
                <c:pt idx="3">
                  <c:v>5.5585683593790236E-2</c:v>
                </c:pt>
                <c:pt idx="4">
                  <c:v>5.1498500976599783E-2</c:v>
                </c:pt>
                <c:pt idx="5">
                  <c:v>5.5585683593790215E-2</c:v>
                </c:pt>
                <c:pt idx="6">
                  <c:v>5.0681064453161687E-2</c:v>
                </c:pt>
                <c:pt idx="7">
                  <c:v>6.4168767089890194E-2</c:v>
                </c:pt>
                <c:pt idx="8">
                  <c:v>6.2533894043014016E-2</c:v>
                </c:pt>
                <c:pt idx="9">
                  <c:v>6.5394921875047335E-2</c:v>
                </c:pt>
                <c:pt idx="10">
                  <c:v>4.577644531253313E-2</c:v>
                </c:pt>
                <c:pt idx="11">
                  <c:v>4.7002600097690271E-2</c:v>
                </c:pt>
                <c:pt idx="12">
                  <c:v>4.7002600097690278E-2</c:v>
                </c:pt>
                <c:pt idx="13">
                  <c:v>4.7002600097690271E-2</c:v>
                </c:pt>
                <c:pt idx="14">
                  <c:v>4.7002600097690271E-2</c:v>
                </c:pt>
                <c:pt idx="15">
                  <c:v>4.7002600097690292E-2</c:v>
                </c:pt>
                <c:pt idx="16">
                  <c:v>4.782003662112836E-2</c:v>
                </c:pt>
                <c:pt idx="17">
                  <c:v>4.782003662112836E-2</c:v>
                </c:pt>
                <c:pt idx="18">
                  <c:v>5.6811793736099861E-2</c:v>
                </c:pt>
                <c:pt idx="19">
                  <c:v>5.640307407929035E-2</c:v>
                </c:pt>
                <c:pt idx="20">
                  <c:v>6.5394832589347557E-2</c:v>
                </c:pt>
                <c:pt idx="21">
                  <c:v>6.5394835379528518E-2</c:v>
                </c:pt>
                <c:pt idx="22">
                  <c:v>6.4986119907990414E-2</c:v>
                </c:pt>
                <c:pt idx="23">
                  <c:v>6.49861199079904E-2</c:v>
                </c:pt>
                <c:pt idx="24">
                  <c:v>6.49861199079904E-2</c:v>
                </c:pt>
                <c:pt idx="25">
                  <c:v>6.4986119907990428E-2</c:v>
                </c:pt>
                <c:pt idx="26">
                  <c:v>6.5394835379528518E-2</c:v>
                </c:pt>
                <c:pt idx="27">
                  <c:v>6.5394835379528518E-2</c:v>
                </c:pt>
                <c:pt idx="28">
                  <c:v>4.4141459263457229E-2</c:v>
                </c:pt>
                <c:pt idx="29">
                  <c:v>4.4141459263457236E-2</c:v>
                </c:pt>
                <c:pt idx="30">
                  <c:v>4.4141459263457229E-2</c:v>
                </c:pt>
                <c:pt idx="31">
                  <c:v>4.4141459263457236E-2</c:v>
                </c:pt>
                <c:pt idx="32">
                  <c:v>5.0680919363914431E-2</c:v>
                </c:pt>
                <c:pt idx="33">
                  <c:v>4.8228615373962044E-2</c:v>
                </c:pt>
                <c:pt idx="34">
                  <c:v>4.5367593122290634E-2</c:v>
                </c:pt>
                <c:pt idx="35">
                  <c:v>4.7002446637928755E-2</c:v>
                </c:pt>
                <c:pt idx="36">
                  <c:v>4.2915270996190677E-2</c:v>
                </c:pt>
                <c:pt idx="37">
                  <c:v>4.7002446637928762E-2</c:v>
                </c:pt>
                <c:pt idx="38">
                  <c:v>4.7002432687047832E-2</c:v>
                </c:pt>
                <c:pt idx="39">
                  <c:v>4.2915270996190677E-2</c:v>
                </c:pt>
                <c:pt idx="40">
                  <c:v>4.2097821916962132E-2</c:v>
                </c:pt>
                <c:pt idx="41">
                  <c:v>4.291527099619067E-2</c:v>
                </c:pt>
                <c:pt idx="42">
                  <c:v>4.7002446637928755E-2</c:v>
                </c:pt>
                <c:pt idx="43">
                  <c:v>5.1498325195414509E-2</c:v>
                </c:pt>
                <c:pt idx="44">
                  <c:v>5.5585499442062133E-2</c:v>
                </c:pt>
                <c:pt idx="45">
                  <c:v>5.5585499442062133E-2</c:v>
                </c:pt>
                <c:pt idx="46">
                  <c:v>5.1498325195414515E-2</c:v>
                </c:pt>
                <c:pt idx="47">
                  <c:v>4.7002432687047832E-2</c:v>
                </c:pt>
                <c:pt idx="48">
                  <c:v>4.5367551269647866E-2</c:v>
                </c:pt>
                <c:pt idx="49">
                  <c:v>4.5367551269647866E-2</c:v>
                </c:pt>
                <c:pt idx="50">
                  <c:v>4.5367551269647866E-2</c:v>
                </c:pt>
                <c:pt idx="51">
                  <c:v>4.5367551269647872E-2</c:v>
                </c:pt>
                <c:pt idx="52">
                  <c:v>4.8228565150790728E-2</c:v>
                </c:pt>
                <c:pt idx="53">
                  <c:v>4.822856515079077E-2</c:v>
                </c:pt>
                <c:pt idx="54">
                  <c:v>4.8228565150790728E-2</c:v>
                </c:pt>
                <c:pt idx="55">
                  <c:v>5.0680863560390768E-2</c:v>
                </c:pt>
                <c:pt idx="56">
                  <c:v>4.8228565150790777E-2</c:v>
                </c:pt>
                <c:pt idx="57">
                  <c:v>4.8228565150790784E-2</c:v>
                </c:pt>
                <c:pt idx="58">
                  <c:v>4.4141383928700262E-2</c:v>
                </c:pt>
                <c:pt idx="59">
                  <c:v>4.2097802385728841E-2</c:v>
                </c:pt>
                <c:pt idx="60">
                  <c:v>4.4141383928700262E-2</c:v>
                </c:pt>
                <c:pt idx="61">
                  <c:v>4.4141383928700262E-2</c:v>
                </c:pt>
                <c:pt idx="62">
                  <c:v>3.7193186035290773E-2</c:v>
                </c:pt>
                <c:pt idx="63">
                  <c:v>3.719318603529076E-2</c:v>
                </c:pt>
                <c:pt idx="64">
                  <c:v>3.719318603529076E-2</c:v>
                </c:pt>
                <c:pt idx="65">
                  <c:v>2.9836269880162192E-2</c:v>
                </c:pt>
                <c:pt idx="66">
                  <c:v>3.0653702218333616E-2</c:v>
                </c:pt>
                <c:pt idx="67">
                  <c:v>3.1062419084962201E-2</c:v>
                </c:pt>
                <c:pt idx="68">
                  <c:v>3.9236773158614568E-2</c:v>
                </c:pt>
                <c:pt idx="69">
                  <c:v>3.9645488630157433E-2</c:v>
                </c:pt>
                <c:pt idx="70">
                  <c:v>3.964548863015744E-2</c:v>
                </c:pt>
                <c:pt idx="71">
                  <c:v>3.9236773158614568E-2</c:v>
                </c:pt>
                <c:pt idx="72">
                  <c:v>3.841934221552884E-2</c:v>
                </c:pt>
                <c:pt idx="73">
                  <c:v>3.9236773158614562E-2</c:v>
                </c:pt>
                <c:pt idx="74">
                  <c:v>4.8228556780262187E-2</c:v>
                </c:pt>
                <c:pt idx="75">
                  <c:v>4.8228558175347901E-2</c:v>
                </c:pt>
                <c:pt idx="76">
                  <c:v>4.8228556780262201E-2</c:v>
                </c:pt>
                <c:pt idx="77">
                  <c:v>4.8228558175347901E-2</c:v>
                </c:pt>
                <c:pt idx="78">
                  <c:v>4.7819844098890771E-2</c:v>
                </c:pt>
                <c:pt idx="79">
                  <c:v>4.7819844098890771E-2</c:v>
                </c:pt>
                <c:pt idx="80">
                  <c:v>4.7002414550890742E-2</c:v>
                </c:pt>
                <c:pt idx="81">
                  <c:v>4.7002414550890749E-2</c:v>
                </c:pt>
                <c:pt idx="82">
                  <c:v>5.4359333496200271E-2</c:v>
                </c:pt>
                <c:pt idx="83">
                  <c:v>5.4359333496200271E-2</c:v>
                </c:pt>
                <c:pt idx="84">
                  <c:v>4.8228583286933559E-2</c:v>
                </c:pt>
                <c:pt idx="85">
                  <c:v>5.3950630580457362E-2</c:v>
                </c:pt>
                <c:pt idx="86">
                  <c:v>5.0680902622857314E-2</c:v>
                </c:pt>
                <c:pt idx="87">
                  <c:v>6.5394720982233562E-2</c:v>
                </c:pt>
                <c:pt idx="88">
                  <c:v>6.5394720982233562E-2</c:v>
                </c:pt>
                <c:pt idx="89">
                  <c:v>5.92639554269907E-2</c:v>
                </c:pt>
                <c:pt idx="90">
                  <c:v>5.6811661202647822E-2</c:v>
                </c:pt>
                <c:pt idx="91">
                  <c:v>9.8500902971633414E-2</c:v>
                </c:pt>
                <c:pt idx="92">
                  <c:v>0.1365116803851476</c:v>
                </c:pt>
                <c:pt idx="93">
                  <c:v>0.13651168038514755</c:v>
                </c:pt>
                <c:pt idx="94">
                  <c:v>0.14999936070042852</c:v>
                </c:pt>
                <c:pt idx="95">
                  <c:v>0.14509477922721414</c:v>
                </c:pt>
                <c:pt idx="96">
                  <c:v>0.14713836495544752</c:v>
                </c:pt>
                <c:pt idx="97">
                  <c:v>0.14019018798836175</c:v>
                </c:pt>
                <c:pt idx="98">
                  <c:v>0.14019018798836175</c:v>
                </c:pt>
                <c:pt idx="99">
                  <c:v>0.14019018798836172</c:v>
                </c:pt>
                <c:pt idx="100">
                  <c:v>0.14019018798836169</c:v>
                </c:pt>
                <c:pt idx="101">
                  <c:v>0.14019018798836169</c:v>
                </c:pt>
                <c:pt idx="102">
                  <c:v>0.14019018798836169</c:v>
                </c:pt>
                <c:pt idx="103">
                  <c:v>0.13855531912675692</c:v>
                </c:pt>
                <c:pt idx="104">
                  <c:v>0.14223381277909014</c:v>
                </c:pt>
                <c:pt idx="105">
                  <c:v>0.14141637904583301</c:v>
                </c:pt>
                <c:pt idx="106">
                  <c:v>0.15081689627519013</c:v>
                </c:pt>
                <c:pt idx="107">
                  <c:v>0.15081689627519013</c:v>
                </c:pt>
                <c:pt idx="108">
                  <c:v>0.12506771275119016</c:v>
                </c:pt>
                <c:pt idx="109">
                  <c:v>0.12425027483266157</c:v>
                </c:pt>
                <c:pt idx="110">
                  <c:v>0.12997232770654718</c:v>
                </c:pt>
                <c:pt idx="111">
                  <c:v>0.1340595075335568</c:v>
                </c:pt>
                <c:pt idx="112">
                  <c:v>0.13405950753355675</c:v>
                </c:pt>
                <c:pt idx="113">
                  <c:v>0.11444103515631401</c:v>
                </c:pt>
                <c:pt idx="114">
                  <c:v>0.13405950753355675</c:v>
                </c:pt>
                <c:pt idx="115">
                  <c:v>9.8501101074290054E-2</c:v>
                </c:pt>
                <c:pt idx="116">
                  <c:v>9.6866228027413875E-2</c:v>
                </c:pt>
                <c:pt idx="117">
                  <c:v>9.6866228027413875E-2</c:v>
                </c:pt>
                <c:pt idx="118">
                  <c:v>9.6866228027413875E-2</c:v>
                </c:pt>
                <c:pt idx="119">
                  <c:v>9.6866228027413875E-2</c:v>
                </c:pt>
                <c:pt idx="120">
                  <c:v>0.11158008544929951</c:v>
                </c:pt>
                <c:pt idx="121">
                  <c:v>0.10708418457039001</c:v>
                </c:pt>
                <c:pt idx="122">
                  <c:v>0.10217956542976143</c:v>
                </c:pt>
                <c:pt idx="123">
                  <c:v>9.6866228027413834E-2</c:v>
                </c:pt>
                <c:pt idx="124">
                  <c:v>9.3596481933661463E-2</c:v>
                </c:pt>
                <c:pt idx="125">
                  <c:v>9.3596481933661504E-2</c:v>
                </c:pt>
                <c:pt idx="126">
                  <c:v>8.8691862793032927E-2</c:v>
                </c:pt>
                <c:pt idx="127">
                  <c:v>8.7056989746156749E-2</c:v>
                </c:pt>
                <c:pt idx="128">
                  <c:v>8.1334934082090096E-2</c:v>
                </c:pt>
                <c:pt idx="129">
                  <c:v>9.1144172363347195E-2</c:v>
                </c:pt>
                <c:pt idx="130">
                  <c:v>9.1144172363347181E-2</c:v>
                </c:pt>
                <c:pt idx="131">
                  <c:v>9.9318537597728115E-2</c:v>
                </c:pt>
                <c:pt idx="132">
                  <c:v>9.9318537597728199E-2</c:v>
                </c:pt>
                <c:pt idx="133">
                  <c:v>8.9918017578190096E-2</c:v>
                </c:pt>
                <c:pt idx="134">
                  <c:v>8.2561088867247279E-2</c:v>
                </c:pt>
                <c:pt idx="135">
                  <c:v>8.0108779296932983E-2</c:v>
                </c:pt>
                <c:pt idx="136">
                  <c:v>8.7056989746156763E-2</c:v>
                </c:pt>
                <c:pt idx="137">
                  <c:v>8.7056989746156763E-2</c:v>
                </c:pt>
                <c:pt idx="138">
                  <c:v>8.7056989746156804E-2</c:v>
                </c:pt>
                <c:pt idx="139">
                  <c:v>9.0735454101628227E-2</c:v>
                </c:pt>
                <c:pt idx="140">
                  <c:v>8.2561088867247279E-2</c:v>
                </c:pt>
                <c:pt idx="141">
                  <c:v>8.2561088867247265E-2</c:v>
                </c:pt>
                <c:pt idx="142">
                  <c:v>9.1144172363347209E-2</c:v>
                </c:pt>
                <c:pt idx="143">
                  <c:v>9.1144172363347223E-2</c:v>
                </c:pt>
                <c:pt idx="144">
                  <c:v>9.0735454101628227E-2</c:v>
                </c:pt>
                <c:pt idx="145">
                  <c:v>9.8501101074290026E-2</c:v>
                </c:pt>
                <c:pt idx="146">
                  <c:v>9.8501101074290026E-2</c:v>
                </c:pt>
                <c:pt idx="147">
                  <c:v>0.10831033935554715</c:v>
                </c:pt>
                <c:pt idx="148">
                  <c:v>0.1168934228516471</c:v>
                </c:pt>
                <c:pt idx="149">
                  <c:v>0.12547650634774707</c:v>
                </c:pt>
                <c:pt idx="150">
                  <c:v>0.12425035156258994</c:v>
                </c:pt>
                <c:pt idx="151">
                  <c:v>0.12425035156258993</c:v>
                </c:pt>
                <c:pt idx="152">
                  <c:v>0.12547650634774707</c:v>
                </c:pt>
                <c:pt idx="153">
                  <c:v>0.12547650634774707</c:v>
                </c:pt>
                <c:pt idx="154">
                  <c:v>0.13365087158212799</c:v>
                </c:pt>
                <c:pt idx="155">
                  <c:v>0.14141651855478984</c:v>
                </c:pt>
                <c:pt idx="156">
                  <c:v>0.13651189941416134</c:v>
                </c:pt>
                <c:pt idx="157">
                  <c:v>0.12261547851571378</c:v>
                </c:pt>
                <c:pt idx="158">
                  <c:v>0.12261547851571372</c:v>
                </c:pt>
                <c:pt idx="159">
                  <c:v>0.11934573242196138</c:v>
                </c:pt>
                <c:pt idx="160">
                  <c:v>0.12792881591806132</c:v>
                </c:pt>
                <c:pt idx="161">
                  <c:v>0.13405958984384703</c:v>
                </c:pt>
                <c:pt idx="162">
                  <c:v>0.14836466622499001</c:v>
                </c:pt>
                <c:pt idx="163">
                  <c:v>0.1373292773438472</c:v>
                </c:pt>
                <c:pt idx="164">
                  <c:v>0.1373292773438472</c:v>
                </c:pt>
                <c:pt idx="165">
                  <c:v>0.14141646135612812</c:v>
                </c:pt>
                <c:pt idx="166">
                  <c:v>0.1373292773438472</c:v>
                </c:pt>
                <c:pt idx="167">
                  <c:v>0.14141646135612812</c:v>
                </c:pt>
                <c:pt idx="168">
                  <c:v>0.14141646135612809</c:v>
                </c:pt>
                <c:pt idx="169">
                  <c:v>0.12547645333435675</c:v>
                </c:pt>
                <c:pt idx="170">
                  <c:v>0.12547645333435672</c:v>
                </c:pt>
                <c:pt idx="171">
                  <c:v>0.10585798095711396</c:v>
                </c:pt>
                <c:pt idx="172">
                  <c:v>0.10708413713736158</c:v>
                </c:pt>
                <c:pt idx="173">
                  <c:v>0.10708413713736158</c:v>
                </c:pt>
                <c:pt idx="174">
                  <c:v>0.11689333356594733</c:v>
                </c:pt>
                <c:pt idx="175">
                  <c:v>0.11648461251404736</c:v>
                </c:pt>
                <c:pt idx="176">
                  <c:v>0.11648461251404738</c:v>
                </c:pt>
                <c:pt idx="177">
                  <c:v>0.11648461251404736</c:v>
                </c:pt>
                <c:pt idx="178">
                  <c:v>0.12547637660446173</c:v>
                </c:pt>
                <c:pt idx="179">
                  <c:v>0.10422300606874753</c:v>
                </c:pt>
                <c:pt idx="180">
                  <c:v>0.10831016496942855</c:v>
                </c:pt>
                <c:pt idx="181">
                  <c:v>7.7247575683714431E-2</c:v>
                </c:pt>
                <c:pt idx="182">
                  <c:v>0.11403219412680002</c:v>
                </c:pt>
                <c:pt idx="183">
                  <c:v>0.12792859409889049</c:v>
                </c:pt>
                <c:pt idx="184">
                  <c:v>0.13283319091809051</c:v>
                </c:pt>
                <c:pt idx="185">
                  <c:v>0.12874601806653335</c:v>
                </c:pt>
                <c:pt idx="186">
                  <c:v>0.12874601806653335</c:v>
                </c:pt>
                <c:pt idx="187">
                  <c:v>0.12792857456765719</c:v>
                </c:pt>
                <c:pt idx="188">
                  <c:v>0.13119830671051438</c:v>
                </c:pt>
                <c:pt idx="189">
                  <c:v>8.8691638183728744E-2</c:v>
                </c:pt>
                <c:pt idx="190">
                  <c:v>9.9318294852247788E-2</c:v>
                </c:pt>
                <c:pt idx="191">
                  <c:v>0.10708392647891449</c:v>
                </c:pt>
                <c:pt idx="192">
                  <c:v>0.1079013616072573</c:v>
                </c:pt>
                <c:pt idx="193">
                  <c:v>0.10831008126405735</c:v>
                </c:pt>
                <c:pt idx="194">
                  <c:v>0.10831008544931445</c:v>
                </c:pt>
                <c:pt idx="195">
                  <c:v>0.10831008544931445</c:v>
                </c:pt>
                <c:pt idx="196">
                  <c:v>9.9318303222762069E-2</c:v>
                </c:pt>
                <c:pt idx="197">
                  <c:v>9.8500875069847699E-2</c:v>
                </c:pt>
                <c:pt idx="198">
                  <c:v>9.7274731445390575E-2</c:v>
                </c:pt>
                <c:pt idx="199">
                  <c:v>9.7274731445390644E-2</c:v>
                </c:pt>
                <c:pt idx="200">
                  <c:v>9.8500875069847713E-2</c:v>
                </c:pt>
                <c:pt idx="201">
                  <c:v>9.8500875069847699E-2</c:v>
                </c:pt>
                <c:pt idx="202">
                  <c:v>9.8500875069847699E-2</c:v>
                </c:pt>
                <c:pt idx="203">
                  <c:v>3.9645523507347812E-2</c:v>
                </c:pt>
                <c:pt idx="204">
                  <c:v>3.3514756557014511E-2</c:v>
                </c:pt>
                <c:pt idx="205">
                  <c:v>3.9645523507347832E-2</c:v>
                </c:pt>
                <c:pt idx="206">
                  <c:v>3.6784513811462062E-2</c:v>
                </c:pt>
                <c:pt idx="207">
                  <c:v>3.3514788644033448E-2</c:v>
                </c:pt>
                <c:pt idx="208">
                  <c:v>3.8419403599390577E-2</c:v>
                </c:pt>
                <c:pt idx="209">
                  <c:v>4.2915300293028688E-2</c:v>
                </c:pt>
                <c:pt idx="210">
                  <c:v>4.7002478724947713E-2</c:v>
                </c:pt>
                <c:pt idx="211">
                  <c:v>4.7002478724947713E-2</c:v>
                </c:pt>
                <c:pt idx="212">
                  <c:v>3.1062518136214336E-2</c:v>
                </c:pt>
                <c:pt idx="213">
                  <c:v>3.3514824916347642E-2</c:v>
                </c:pt>
                <c:pt idx="214">
                  <c:v>3.5558413434761939E-2</c:v>
                </c:pt>
                <c:pt idx="215">
                  <c:v>3.5558413434761932E-2</c:v>
                </c:pt>
                <c:pt idx="216">
                  <c:v>3.7193283691457177E-2</c:v>
                </c:pt>
                <c:pt idx="217">
                  <c:v>3.0653827776261883E-2</c:v>
                </c:pt>
                <c:pt idx="218">
                  <c:v>3.0653827776261883E-2</c:v>
                </c:pt>
                <c:pt idx="219">
                  <c:v>3.1062544642890443E-2</c:v>
                </c:pt>
                <c:pt idx="220">
                  <c:v>3.1062543247799973E-2</c:v>
                </c:pt>
                <c:pt idx="221">
                  <c:v>2.1253349609390394E-2</c:v>
                </c:pt>
                <c:pt idx="222">
                  <c:v>2.0027194824233242E-2</c:v>
                </c:pt>
                <c:pt idx="223">
                  <c:v>1.8392321777357078E-2</c:v>
                </c:pt>
                <c:pt idx="224">
                  <c:v>1.8392321777357078E-2</c:v>
                </c:pt>
                <c:pt idx="225">
                  <c:v>1.6348730468761827E-2</c:v>
                </c:pt>
                <c:pt idx="226">
                  <c:v>1.8392321777357074E-2</c:v>
                </c:pt>
                <c:pt idx="227">
                  <c:v>1.6348730468761834E-2</c:v>
                </c:pt>
                <c:pt idx="228">
                  <c:v>1.3896420898447554E-2</c:v>
                </c:pt>
                <c:pt idx="229">
                  <c:v>1.9618476562514198E-2</c:v>
                </c:pt>
                <c:pt idx="230">
                  <c:v>2.2479504394547517E-2</c:v>
                </c:pt>
                <c:pt idx="231">
                  <c:v>2.4931813964861792E-2</c:v>
                </c:pt>
                <c:pt idx="232">
                  <c:v>2.4931813964861795E-2</c:v>
                </c:pt>
                <c:pt idx="233">
                  <c:v>4.5367727050814093E-2</c:v>
                </c:pt>
                <c:pt idx="234">
                  <c:v>4.5367727050814093E-2</c:v>
                </c:pt>
                <c:pt idx="235">
                  <c:v>5.0681064453161687E-2</c:v>
                </c:pt>
                <c:pt idx="236">
                  <c:v>5.1498500976599783E-2</c:v>
                </c:pt>
                <c:pt idx="237">
                  <c:v>5.5585683593790236E-2</c:v>
                </c:pt>
                <c:pt idx="238">
                  <c:v>5.9264147949261645E-2</c:v>
                </c:pt>
                <c:pt idx="239">
                  <c:v>5.9264147949261645E-2</c:v>
                </c:pt>
                <c:pt idx="240">
                  <c:v>6.4168767089890208E-2</c:v>
                </c:pt>
                <c:pt idx="241">
                  <c:v>6.4168767089890208E-2</c:v>
                </c:pt>
                <c:pt idx="242">
                  <c:v>6.8664667968799706E-2</c:v>
                </c:pt>
                <c:pt idx="243">
                  <c:v>7.275185058599018E-2</c:v>
                </c:pt>
                <c:pt idx="244">
                  <c:v>7.275185058599018E-2</c:v>
                </c:pt>
                <c:pt idx="245">
                  <c:v>6.8664667968799692E-2</c:v>
                </c:pt>
                <c:pt idx="246">
                  <c:v>6.8664667968799692E-2</c:v>
                </c:pt>
                <c:pt idx="247">
                  <c:v>6.7847231445361617E-2</c:v>
                </c:pt>
                <c:pt idx="248">
                  <c:v>8.2561088867247251E-2</c:v>
                </c:pt>
                <c:pt idx="249">
                  <c:v>9.5640073242256776E-2</c:v>
                </c:pt>
                <c:pt idx="250">
                  <c:v>0.10585802978523288</c:v>
                </c:pt>
                <c:pt idx="251">
                  <c:v>9.850110107429004E-2</c:v>
                </c:pt>
                <c:pt idx="252">
                  <c:v>9.1144172363347251E-2</c:v>
                </c:pt>
                <c:pt idx="253">
                  <c:v>9.1144172363347251E-2</c:v>
                </c:pt>
                <c:pt idx="254">
                  <c:v>8.133493408209011E-2</c:v>
                </c:pt>
                <c:pt idx="255">
                  <c:v>9.1144172363347223E-2</c:v>
                </c:pt>
                <c:pt idx="256">
                  <c:v>9.1144172363347223E-2</c:v>
                </c:pt>
                <c:pt idx="257">
                  <c:v>9.9727255859447209E-2</c:v>
                </c:pt>
                <c:pt idx="258">
                  <c:v>9.7274946289132885E-2</c:v>
                </c:pt>
                <c:pt idx="259">
                  <c:v>8.7056989746156804E-2</c:v>
                </c:pt>
                <c:pt idx="260">
                  <c:v>7.6430314941461575E-2</c:v>
                </c:pt>
                <c:pt idx="261">
                  <c:v>7.8473906250056832E-2</c:v>
                </c:pt>
                <c:pt idx="262">
                  <c:v>8.2561088867247251E-2</c:v>
                </c:pt>
                <c:pt idx="263">
                  <c:v>8.828314453131389E-2</c:v>
                </c:pt>
                <c:pt idx="264">
                  <c:v>7.7247751464899636E-2</c:v>
                </c:pt>
                <c:pt idx="265">
                  <c:v>7.275185058599018E-2</c:v>
                </c:pt>
                <c:pt idx="266">
                  <c:v>6.7847231445361617E-2</c:v>
                </c:pt>
                <c:pt idx="267">
                  <c:v>6.7847231445361617E-2</c:v>
                </c:pt>
                <c:pt idx="268">
                  <c:v>6.7847231445361617E-2</c:v>
                </c:pt>
                <c:pt idx="269">
                  <c:v>6.4168767089890194E-2</c:v>
                </c:pt>
                <c:pt idx="270">
                  <c:v>6.4168767089890208E-2</c:v>
                </c:pt>
                <c:pt idx="271">
                  <c:v>6.0081584472699748E-2</c:v>
                </c:pt>
                <c:pt idx="272">
                  <c:v>5.5585683593790222E-2</c:v>
                </c:pt>
                <c:pt idx="273">
                  <c:v>5.9264147949261645E-2</c:v>
                </c:pt>
                <c:pt idx="274">
                  <c:v>5.3950810546914064E-2</c:v>
                </c:pt>
                <c:pt idx="275">
                  <c:v>5.0681064453161687E-2</c:v>
                </c:pt>
                <c:pt idx="276">
                  <c:v>4.8228754882847426E-2</c:v>
                </c:pt>
                <c:pt idx="277">
                  <c:v>6.1307689034647485E-2</c:v>
                </c:pt>
                <c:pt idx="278">
                  <c:v>5.9264096330961781E-2</c:v>
                </c:pt>
                <c:pt idx="279">
                  <c:v>5.6811785365557047E-2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435384"/>
        <c:axId val="356436560"/>
      </c:scatterChart>
      <c:valAx>
        <c:axId val="356435384"/>
        <c:scaling>
          <c:orientation val="minMax"/>
          <c:max val="3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6560"/>
        <c:crosses val="autoZero"/>
        <c:crossBetween val="midCat"/>
        <c:majorUnit val="30"/>
      </c:valAx>
      <c:valAx>
        <c:axId val="3564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228601</xdr:colOff>
      <xdr:row>21</xdr:row>
      <xdr:rowOff>33337</xdr:rowOff>
    </xdr:from>
    <xdr:to>
      <xdr:col>28</xdr:col>
      <xdr:colOff>438151</xdr:colOff>
      <xdr:row>61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53</xdr:row>
      <xdr:rowOff>185737</xdr:rowOff>
    </xdr:from>
    <xdr:to>
      <xdr:col>15</xdr:col>
      <xdr:colOff>9525</xdr:colOff>
      <xdr:row>73</xdr:row>
      <xdr:rowOff>14287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47625</xdr:rowOff>
        </xdr:from>
        <xdr:to>
          <xdr:col>11</xdr:col>
          <xdr:colOff>190500</xdr:colOff>
          <xdr:row>3</xdr:row>
          <xdr:rowOff>171450</xdr:rowOff>
        </xdr:to>
        <xdr:sp macro="" textlink="">
          <xdr:nvSpPr>
            <xdr:cNvPr id="2052" name="Spin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38100</xdr:rowOff>
        </xdr:from>
        <xdr:to>
          <xdr:col>11</xdr:col>
          <xdr:colOff>190500</xdr:colOff>
          <xdr:row>6</xdr:row>
          <xdr:rowOff>171450</xdr:rowOff>
        </xdr:to>
        <xdr:sp macro="" textlink="">
          <xdr:nvSpPr>
            <xdr:cNvPr id="2053" name="Spin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32"/>
  <sheetViews>
    <sheetView workbookViewId="0">
      <selection activeCell="F2" sqref="F2"/>
    </sheetView>
  </sheetViews>
  <sheetFormatPr defaultRowHeight="15" x14ac:dyDescent="0.25"/>
  <cols>
    <col min="1" max="1" width="15.7109375" style="1" customWidth="1"/>
    <col min="2" max="2" width="9.140625" style="1"/>
    <col min="3" max="3" width="20.7109375" style="1" customWidth="1"/>
    <col min="4" max="4" width="17.7109375" customWidth="1"/>
    <col min="5" max="5" width="9.140625" style="1"/>
    <col min="6" max="6" width="11.85546875" style="1" customWidth="1"/>
    <col min="7" max="7" width="11.140625" style="1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t="s">
        <v>3</v>
      </c>
      <c r="E1" s="1" t="s">
        <v>4</v>
      </c>
      <c r="F1" s="1" t="s">
        <v>5</v>
      </c>
      <c r="G1" s="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>
        <v>39903</v>
      </c>
      <c r="B2" s="3">
        <v>0.39097222222222222</v>
      </c>
      <c r="C2" s="1">
        <v>137</v>
      </c>
      <c r="D2" t="s">
        <v>19</v>
      </c>
      <c r="E2" s="1">
        <v>0</v>
      </c>
      <c r="F2" s="1">
        <v>0</v>
      </c>
      <c r="G2" s="1">
        <v>1</v>
      </c>
      <c r="H2">
        <v>0</v>
      </c>
      <c r="I2">
        <v>0</v>
      </c>
      <c r="J2">
        <v>0</v>
      </c>
      <c r="K2">
        <v>0</v>
      </c>
      <c r="S2" t="s">
        <v>6</v>
      </c>
    </row>
    <row r="3" spans="1:19" x14ac:dyDescent="0.25">
      <c r="A3" s="2">
        <v>39903</v>
      </c>
      <c r="B3" s="3">
        <v>0.77708333333333324</v>
      </c>
      <c r="C3" s="1">
        <v>163</v>
      </c>
      <c r="D3" t="s">
        <v>19</v>
      </c>
      <c r="E3" s="1">
        <v>0</v>
      </c>
      <c r="F3" s="1">
        <v>0</v>
      </c>
      <c r="G3" s="1">
        <v>1</v>
      </c>
      <c r="H3">
        <v>0</v>
      </c>
      <c r="I3">
        <v>0</v>
      </c>
      <c r="J3">
        <v>0</v>
      </c>
      <c r="K3">
        <v>0</v>
      </c>
      <c r="S3" t="s">
        <v>6</v>
      </c>
    </row>
    <row r="4" spans="1:19" x14ac:dyDescent="0.25">
      <c r="A4" s="2">
        <v>39904</v>
      </c>
      <c r="B4" s="3">
        <v>0.27708333333333335</v>
      </c>
      <c r="C4" s="1">
        <v>130</v>
      </c>
      <c r="D4" t="s">
        <v>19</v>
      </c>
      <c r="E4" s="1">
        <v>1</v>
      </c>
      <c r="F4" s="1">
        <v>0</v>
      </c>
      <c r="G4" s="1">
        <v>0</v>
      </c>
      <c r="H4">
        <v>0</v>
      </c>
      <c r="I4">
        <v>0</v>
      </c>
      <c r="J4">
        <v>0</v>
      </c>
      <c r="K4">
        <v>0</v>
      </c>
      <c r="S4" t="s">
        <v>4</v>
      </c>
    </row>
    <row r="5" spans="1:19" x14ac:dyDescent="0.25">
      <c r="A5" s="2">
        <v>39904</v>
      </c>
      <c r="B5" s="3">
        <v>0.55763888888888891</v>
      </c>
      <c r="C5" s="1">
        <v>100</v>
      </c>
      <c r="D5" t="s">
        <v>19</v>
      </c>
      <c r="E5" s="1">
        <v>0</v>
      </c>
      <c r="F5" s="1">
        <v>1</v>
      </c>
      <c r="G5" s="1">
        <v>0</v>
      </c>
      <c r="H5">
        <v>0</v>
      </c>
      <c r="I5">
        <v>0</v>
      </c>
      <c r="J5">
        <v>0</v>
      </c>
      <c r="K5">
        <v>0</v>
      </c>
      <c r="S5" t="s">
        <v>20</v>
      </c>
    </row>
    <row r="6" spans="1:19" x14ac:dyDescent="0.25">
      <c r="A6" s="2">
        <v>39905</v>
      </c>
      <c r="B6" s="3">
        <v>0.26666666666666666</v>
      </c>
      <c r="C6" s="1">
        <v>98</v>
      </c>
      <c r="D6" t="s">
        <v>19</v>
      </c>
      <c r="E6" s="1">
        <v>1</v>
      </c>
      <c r="F6" s="1">
        <v>0</v>
      </c>
      <c r="G6" s="1">
        <v>0</v>
      </c>
      <c r="H6">
        <v>0</v>
      </c>
      <c r="I6">
        <v>0</v>
      </c>
      <c r="J6">
        <v>0</v>
      </c>
      <c r="K6">
        <v>0</v>
      </c>
      <c r="S6" t="s">
        <v>4</v>
      </c>
    </row>
    <row r="7" spans="1:19" x14ac:dyDescent="0.25">
      <c r="A7" s="2">
        <v>39905</v>
      </c>
      <c r="B7" s="3">
        <v>0.84513888888888899</v>
      </c>
      <c r="C7" s="1">
        <v>102</v>
      </c>
      <c r="D7" t="s">
        <v>19</v>
      </c>
      <c r="E7" s="1">
        <v>0</v>
      </c>
      <c r="F7" s="1">
        <v>0</v>
      </c>
      <c r="G7" s="1">
        <v>1</v>
      </c>
      <c r="H7">
        <v>0</v>
      </c>
      <c r="I7">
        <v>0</v>
      </c>
      <c r="J7">
        <v>0</v>
      </c>
      <c r="K7">
        <v>0</v>
      </c>
      <c r="S7" t="s">
        <v>6</v>
      </c>
    </row>
    <row r="8" spans="1:19" x14ac:dyDescent="0.25">
      <c r="A8" s="2">
        <v>39907</v>
      </c>
      <c r="B8" s="3">
        <v>0.2986111111111111</v>
      </c>
      <c r="C8" s="1">
        <v>195</v>
      </c>
      <c r="D8" t="s">
        <v>19</v>
      </c>
      <c r="E8" s="1">
        <v>0</v>
      </c>
      <c r="F8" s="1">
        <v>0</v>
      </c>
      <c r="G8" s="1">
        <v>1</v>
      </c>
      <c r="H8">
        <v>0</v>
      </c>
      <c r="I8">
        <v>0</v>
      </c>
      <c r="J8">
        <v>0</v>
      </c>
      <c r="K8">
        <v>0</v>
      </c>
      <c r="S8" t="s">
        <v>6</v>
      </c>
    </row>
    <row r="9" spans="1:19" x14ac:dyDescent="0.25">
      <c r="A9" s="2">
        <v>39908</v>
      </c>
      <c r="B9" s="3">
        <v>0.27083333333333331</v>
      </c>
      <c r="C9" s="1">
        <v>130</v>
      </c>
      <c r="D9" t="s">
        <v>19</v>
      </c>
      <c r="E9" s="1">
        <v>1</v>
      </c>
      <c r="F9" s="1">
        <v>0</v>
      </c>
      <c r="G9" s="1">
        <v>0</v>
      </c>
      <c r="H9">
        <v>0</v>
      </c>
      <c r="I9">
        <v>0</v>
      </c>
      <c r="J9">
        <v>0</v>
      </c>
      <c r="K9">
        <v>0</v>
      </c>
      <c r="S9" t="s">
        <v>4</v>
      </c>
    </row>
    <row r="10" spans="1:19" x14ac:dyDescent="0.25">
      <c r="A10" s="2">
        <v>39908</v>
      </c>
      <c r="B10" s="3">
        <v>0.75694444444444453</v>
      </c>
      <c r="C10" s="1">
        <v>104</v>
      </c>
      <c r="D10" t="s">
        <v>19</v>
      </c>
      <c r="E10" s="1">
        <v>0</v>
      </c>
      <c r="F10" s="1">
        <v>0</v>
      </c>
      <c r="G10" s="1">
        <v>1</v>
      </c>
      <c r="H10">
        <v>0</v>
      </c>
      <c r="I10">
        <v>0</v>
      </c>
      <c r="J10">
        <v>0</v>
      </c>
      <c r="K10">
        <v>0</v>
      </c>
      <c r="S10" t="s">
        <v>6</v>
      </c>
    </row>
    <row r="11" spans="1:19" x14ac:dyDescent="0.25">
      <c r="A11" s="2">
        <v>39910</v>
      </c>
      <c r="B11" s="3">
        <v>0.45</v>
      </c>
      <c r="C11" s="1">
        <v>150</v>
      </c>
      <c r="D11" t="s">
        <v>19</v>
      </c>
      <c r="E11" s="1">
        <v>0</v>
      </c>
      <c r="F11" s="1">
        <v>0</v>
      </c>
      <c r="G11" s="1">
        <v>1</v>
      </c>
      <c r="H11">
        <v>0</v>
      </c>
      <c r="I11">
        <v>0</v>
      </c>
      <c r="J11">
        <v>0</v>
      </c>
      <c r="K11">
        <v>0</v>
      </c>
      <c r="S11" t="s">
        <v>6</v>
      </c>
    </row>
    <row r="12" spans="1:19" x14ac:dyDescent="0.25">
      <c r="A12" s="2">
        <v>39910</v>
      </c>
      <c r="B12" s="3">
        <v>0.57500000000000007</v>
      </c>
      <c r="C12" s="1">
        <v>191</v>
      </c>
      <c r="D12" t="s">
        <v>19</v>
      </c>
      <c r="E12" s="1">
        <v>0</v>
      </c>
      <c r="F12" s="1">
        <v>0</v>
      </c>
      <c r="G12" s="1">
        <v>1</v>
      </c>
      <c r="H12">
        <v>0</v>
      </c>
      <c r="I12">
        <v>0</v>
      </c>
      <c r="J12">
        <v>0</v>
      </c>
      <c r="K12">
        <v>0</v>
      </c>
      <c r="S12" t="s">
        <v>6</v>
      </c>
    </row>
    <row r="13" spans="1:19" x14ac:dyDescent="0.25">
      <c r="A13" s="2">
        <v>39910</v>
      </c>
      <c r="B13" s="3">
        <v>0.67361111111111116</v>
      </c>
      <c r="C13" s="1">
        <v>138</v>
      </c>
      <c r="D13" t="s">
        <v>19</v>
      </c>
      <c r="E13" s="1">
        <v>0</v>
      </c>
      <c r="F13" s="1">
        <v>0</v>
      </c>
      <c r="G13" s="1">
        <v>1</v>
      </c>
      <c r="H13">
        <v>0</v>
      </c>
      <c r="I13">
        <v>0</v>
      </c>
      <c r="J13">
        <v>0</v>
      </c>
      <c r="K13">
        <v>0</v>
      </c>
      <c r="S13" t="s">
        <v>6</v>
      </c>
    </row>
    <row r="14" spans="1:19" x14ac:dyDescent="0.25">
      <c r="A14" s="2">
        <v>39911</v>
      </c>
      <c r="B14" s="3">
        <v>0.3923611111111111</v>
      </c>
      <c r="C14" s="1">
        <v>106</v>
      </c>
      <c r="D14" t="s">
        <v>19</v>
      </c>
      <c r="E14" s="1">
        <v>0</v>
      </c>
      <c r="F14" s="1">
        <v>0</v>
      </c>
      <c r="G14" s="1">
        <v>1</v>
      </c>
      <c r="H14">
        <v>0</v>
      </c>
      <c r="I14">
        <v>0</v>
      </c>
      <c r="J14">
        <v>0</v>
      </c>
      <c r="K14">
        <v>0</v>
      </c>
      <c r="S14" t="s">
        <v>6</v>
      </c>
    </row>
    <row r="15" spans="1:19" x14ac:dyDescent="0.25">
      <c r="A15" s="2">
        <v>39912</v>
      </c>
      <c r="B15" s="3">
        <v>0.53819444444444442</v>
      </c>
      <c r="C15" s="1">
        <v>119</v>
      </c>
      <c r="D15" t="s">
        <v>19</v>
      </c>
      <c r="E15" s="1">
        <v>0</v>
      </c>
      <c r="F15" s="1">
        <v>1</v>
      </c>
      <c r="G15" s="1">
        <v>0</v>
      </c>
      <c r="H15">
        <v>0</v>
      </c>
      <c r="I15">
        <v>0</v>
      </c>
      <c r="J15">
        <v>0</v>
      </c>
      <c r="K15">
        <v>0</v>
      </c>
      <c r="S15" t="s">
        <v>20</v>
      </c>
    </row>
    <row r="16" spans="1:19" x14ac:dyDescent="0.25">
      <c r="A16" s="2">
        <v>39913</v>
      </c>
      <c r="B16" s="3">
        <v>0.61249999999999993</v>
      </c>
      <c r="C16" s="1">
        <v>154</v>
      </c>
      <c r="D16" t="s">
        <v>19</v>
      </c>
      <c r="E16" s="1">
        <v>0</v>
      </c>
      <c r="F16" s="1">
        <v>0</v>
      </c>
      <c r="G16" s="1">
        <v>1</v>
      </c>
      <c r="H16">
        <v>0</v>
      </c>
      <c r="I16">
        <v>0</v>
      </c>
      <c r="J16">
        <v>0</v>
      </c>
      <c r="K16">
        <v>0</v>
      </c>
      <c r="S16" t="s">
        <v>6</v>
      </c>
    </row>
    <row r="17" spans="1:19" x14ac:dyDescent="0.25">
      <c r="A17" s="2">
        <v>39914</v>
      </c>
      <c r="B17" s="3">
        <v>0.29444444444444445</v>
      </c>
      <c r="C17" s="1">
        <v>237</v>
      </c>
      <c r="D17" t="s">
        <v>19</v>
      </c>
      <c r="E17" s="1">
        <v>1</v>
      </c>
      <c r="F17" s="1">
        <v>0</v>
      </c>
      <c r="G17" s="1">
        <v>0</v>
      </c>
      <c r="H17">
        <v>0</v>
      </c>
      <c r="I17">
        <v>0</v>
      </c>
      <c r="J17">
        <v>0</v>
      </c>
      <c r="K17">
        <v>0</v>
      </c>
      <c r="S17" t="s">
        <v>4</v>
      </c>
    </row>
    <row r="18" spans="1:19" x14ac:dyDescent="0.25">
      <c r="A18" s="2">
        <v>39914</v>
      </c>
      <c r="B18" s="3">
        <v>0.66111111111111109</v>
      </c>
      <c r="C18" s="1">
        <v>100</v>
      </c>
      <c r="D18" t="s">
        <v>19</v>
      </c>
      <c r="E18" s="1">
        <v>0</v>
      </c>
      <c r="F18" s="1">
        <v>1</v>
      </c>
      <c r="G18" s="1">
        <v>0</v>
      </c>
      <c r="H18">
        <v>0</v>
      </c>
      <c r="I18">
        <v>0</v>
      </c>
      <c r="J18">
        <v>0</v>
      </c>
      <c r="K18">
        <v>0</v>
      </c>
      <c r="S18" t="s">
        <v>20</v>
      </c>
    </row>
    <row r="19" spans="1:19" x14ac:dyDescent="0.25">
      <c r="A19" s="2">
        <v>39914</v>
      </c>
      <c r="B19" s="3">
        <v>0.76597222222222217</v>
      </c>
      <c r="C19" s="1">
        <v>191</v>
      </c>
      <c r="D19" t="s">
        <v>19</v>
      </c>
      <c r="E19" s="1">
        <v>0</v>
      </c>
      <c r="F19" s="1">
        <v>0</v>
      </c>
      <c r="G19" s="1">
        <v>1</v>
      </c>
      <c r="H19">
        <v>0</v>
      </c>
      <c r="I19">
        <v>0</v>
      </c>
      <c r="J19">
        <v>0</v>
      </c>
      <c r="K19">
        <v>0</v>
      </c>
      <c r="S19" t="s">
        <v>6</v>
      </c>
    </row>
    <row r="20" spans="1:19" x14ac:dyDescent="0.25">
      <c r="A20" s="2">
        <v>39915</v>
      </c>
      <c r="B20" s="3">
        <v>0.33333333333333331</v>
      </c>
      <c r="C20" s="1">
        <v>140</v>
      </c>
      <c r="D20" t="s">
        <v>19</v>
      </c>
      <c r="E20" s="1">
        <v>1</v>
      </c>
      <c r="F20" s="1">
        <v>0</v>
      </c>
      <c r="G20" s="1">
        <v>0</v>
      </c>
      <c r="H20">
        <v>0</v>
      </c>
      <c r="I20">
        <v>0</v>
      </c>
      <c r="J20">
        <v>0</v>
      </c>
      <c r="K20">
        <v>0</v>
      </c>
      <c r="S20" t="s">
        <v>4</v>
      </c>
    </row>
    <row r="21" spans="1:19" x14ac:dyDescent="0.25">
      <c r="A21" s="2">
        <v>39915</v>
      </c>
      <c r="B21" s="3">
        <v>0.52708333333333335</v>
      </c>
      <c r="C21" s="1">
        <v>114</v>
      </c>
      <c r="D21" t="s">
        <v>19</v>
      </c>
      <c r="E21" s="1">
        <v>0</v>
      </c>
      <c r="F21" s="1">
        <v>1</v>
      </c>
      <c r="G21" s="1">
        <v>0</v>
      </c>
      <c r="H21">
        <v>0</v>
      </c>
      <c r="I21">
        <v>0</v>
      </c>
      <c r="J21">
        <v>0</v>
      </c>
      <c r="K21">
        <v>0</v>
      </c>
      <c r="S21" t="s">
        <v>20</v>
      </c>
    </row>
    <row r="22" spans="1:19" x14ac:dyDescent="0.25">
      <c r="A22" s="2">
        <v>39917</v>
      </c>
      <c r="B22" s="3">
        <v>0.39027777777777778</v>
      </c>
      <c r="C22" s="1">
        <v>127</v>
      </c>
      <c r="D22" t="s">
        <v>19</v>
      </c>
      <c r="E22" s="1">
        <v>1</v>
      </c>
      <c r="F22" s="1">
        <v>0</v>
      </c>
      <c r="G22" s="1">
        <v>0</v>
      </c>
      <c r="H22">
        <v>0</v>
      </c>
      <c r="I22">
        <v>0</v>
      </c>
      <c r="J22">
        <v>0</v>
      </c>
      <c r="K22">
        <v>0</v>
      </c>
      <c r="S22" t="s">
        <v>4</v>
      </c>
    </row>
    <row r="23" spans="1:19" x14ac:dyDescent="0.25">
      <c r="A23" s="2">
        <v>39918</v>
      </c>
      <c r="B23" s="3">
        <v>0.4055555555555555</v>
      </c>
      <c r="C23" s="1">
        <v>119</v>
      </c>
      <c r="D23" t="s">
        <v>19</v>
      </c>
      <c r="E23" s="1">
        <v>0</v>
      </c>
      <c r="F23" s="1">
        <v>1</v>
      </c>
      <c r="G23" s="1">
        <v>0</v>
      </c>
      <c r="H23">
        <v>0</v>
      </c>
      <c r="I23">
        <v>0</v>
      </c>
      <c r="J23">
        <v>0</v>
      </c>
      <c r="K23">
        <v>0</v>
      </c>
      <c r="S23" t="s">
        <v>20</v>
      </c>
    </row>
    <row r="24" spans="1:19" x14ac:dyDescent="0.25">
      <c r="A24" s="2">
        <v>39919</v>
      </c>
      <c r="B24" s="3">
        <v>0.46319444444444446</v>
      </c>
      <c r="C24" s="1">
        <v>160</v>
      </c>
      <c r="D24" t="s">
        <v>19</v>
      </c>
      <c r="E24" s="1">
        <v>0</v>
      </c>
      <c r="F24" s="1">
        <v>0</v>
      </c>
      <c r="G24" s="1">
        <v>1</v>
      </c>
      <c r="H24">
        <v>0</v>
      </c>
      <c r="I24">
        <v>0</v>
      </c>
      <c r="J24">
        <v>0</v>
      </c>
      <c r="K24">
        <v>0</v>
      </c>
      <c r="S24" t="s">
        <v>6</v>
      </c>
    </row>
    <row r="25" spans="1:19" x14ac:dyDescent="0.25">
      <c r="A25" s="2">
        <v>39921</v>
      </c>
      <c r="B25" s="3">
        <v>0.45069444444444445</v>
      </c>
      <c r="C25" s="1">
        <v>122</v>
      </c>
      <c r="D25" t="s">
        <v>19</v>
      </c>
      <c r="E25" s="1">
        <v>0</v>
      </c>
      <c r="F25" s="1">
        <v>0</v>
      </c>
      <c r="G25" s="1">
        <v>1</v>
      </c>
      <c r="H25">
        <v>0</v>
      </c>
      <c r="I25">
        <v>0</v>
      </c>
      <c r="J25">
        <v>0</v>
      </c>
      <c r="K25">
        <v>0</v>
      </c>
      <c r="S25" t="s">
        <v>6</v>
      </c>
    </row>
    <row r="26" spans="1:19" x14ac:dyDescent="0.25">
      <c r="A26" s="2">
        <v>39923</v>
      </c>
      <c r="B26" s="3">
        <v>0.28680555555555554</v>
      </c>
      <c r="C26" s="1">
        <v>130</v>
      </c>
      <c r="D26" t="s">
        <v>19</v>
      </c>
      <c r="E26" s="1">
        <v>1</v>
      </c>
      <c r="F26" s="1">
        <v>0</v>
      </c>
      <c r="G26" s="1">
        <v>0</v>
      </c>
      <c r="H26">
        <v>0</v>
      </c>
      <c r="I26">
        <v>0</v>
      </c>
      <c r="J26">
        <v>0</v>
      </c>
      <c r="K26">
        <v>0</v>
      </c>
      <c r="S26" t="s">
        <v>4</v>
      </c>
    </row>
    <row r="27" spans="1:19" x14ac:dyDescent="0.25">
      <c r="A27" s="2">
        <v>39923</v>
      </c>
      <c r="B27" s="3">
        <v>0.58750000000000002</v>
      </c>
      <c r="C27" s="1">
        <v>110</v>
      </c>
      <c r="D27" t="s">
        <v>19</v>
      </c>
      <c r="E27" s="1">
        <v>0</v>
      </c>
      <c r="F27" s="1">
        <v>0</v>
      </c>
      <c r="G27" s="1">
        <v>1</v>
      </c>
      <c r="H27">
        <v>0</v>
      </c>
      <c r="I27">
        <v>0</v>
      </c>
      <c r="J27">
        <v>0</v>
      </c>
      <c r="K27">
        <v>0</v>
      </c>
      <c r="S27" t="s">
        <v>6</v>
      </c>
    </row>
    <row r="28" spans="1:19" x14ac:dyDescent="0.25">
      <c r="A28" s="2">
        <v>39923</v>
      </c>
      <c r="B28" s="3">
        <v>0.75624999999999998</v>
      </c>
      <c r="C28" s="1">
        <v>100</v>
      </c>
      <c r="D28" t="s">
        <v>19</v>
      </c>
      <c r="E28" s="1">
        <v>0</v>
      </c>
      <c r="F28" s="1">
        <v>0</v>
      </c>
      <c r="G28" s="1">
        <v>1</v>
      </c>
      <c r="H28">
        <v>0</v>
      </c>
      <c r="I28">
        <v>0</v>
      </c>
      <c r="J28">
        <v>0</v>
      </c>
      <c r="K28">
        <v>0</v>
      </c>
      <c r="S28" t="s">
        <v>6</v>
      </c>
    </row>
    <row r="29" spans="1:19" x14ac:dyDescent="0.25">
      <c r="A29" s="2">
        <v>39923</v>
      </c>
      <c r="B29" s="3">
        <v>0.7715277777777777</v>
      </c>
      <c r="C29" s="1">
        <v>99</v>
      </c>
      <c r="D29" t="s">
        <v>19</v>
      </c>
      <c r="E29" s="1">
        <v>0</v>
      </c>
      <c r="F29" s="1">
        <v>0</v>
      </c>
      <c r="G29" s="1">
        <v>1</v>
      </c>
      <c r="H29">
        <v>0</v>
      </c>
      <c r="I29">
        <v>0</v>
      </c>
      <c r="J29">
        <v>0</v>
      </c>
      <c r="K29">
        <v>0</v>
      </c>
      <c r="S29" t="s">
        <v>6</v>
      </c>
    </row>
    <row r="30" spans="1:19" x14ac:dyDescent="0.25">
      <c r="A30" s="2">
        <v>39924</v>
      </c>
      <c r="B30" s="3">
        <v>0.17986111111111111</v>
      </c>
      <c r="C30" s="1">
        <v>114</v>
      </c>
      <c r="D30" t="s">
        <v>19</v>
      </c>
      <c r="E30" s="1">
        <v>1</v>
      </c>
      <c r="F30" s="1">
        <v>0</v>
      </c>
      <c r="G30" s="1">
        <v>0</v>
      </c>
      <c r="H30">
        <v>0</v>
      </c>
      <c r="I30">
        <v>0</v>
      </c>
      <c r="J30">
        <v>0</v>
      </c>
      <c r="K30">
        <v>0</v>
      </c>
      <c r="S30" t="s">
        <v>4</v>
      </c>
    </row>
    <row r="31" spans="1:19" x14ac:dyDescent="0.25">
      <c r="A31" s="2">
        <v>39924</v>
      </c>
      <c r="B31" s="3">
        <v>0.43541666666666662</v>
      </c>
      <c r="C31" s="1">
        <v>139</v>
      </c>
      <c r="D31" t="s">
        <v>19</v>
      </c>
      <c r="E31" s="1">
        <v>0</v>
      </c>
      <c r="F31" s="1">
        <v>1</v>
      </c>
      <c r="G31" s="1">
        <v>0</v>
      </c>
      <c r="H31">
        <v>0</v>
      </c>
      <c r="I31">
        <v>0</v>
      </c>
      <c r="J31">
        <v>0</v>
      </c>
      <c r="K31">
        <v>0</v>
      </c>
      <c r="S31" t="s">
        <v>20</v>
      </c>
    </row>
    <row r="32" spans="1:19" x14ac:dyDescent="0.25">
      <c r="A32" s="2">
        <v>39924</v>
      </c>
      <c r="B32" s="3">
        <v>0.59861111111111109</v>
      </c>
      <c r="C32" s="1">
        <v>105</v>
      </c>
      <c r="D32" t="s">
        <v>19</v>
      </c>
      <c r="E32" s="1">
        <v>0</v>
      </c>
      <c r="F32" s="1">
        <v>0</v>
      </c>
      <c r="G32" s="1">
        <v>1</v>
      </c>
      <c r="H32">
        <v>0</v>
      </c>
      <c r="I32">
        <v>0</v>
      </c>
      <c r="J32">
        <v>0</v>
      </c>
      <c r="K32">
        <v>0</v>
      </c>
      <c r="S32" t="s">
        <v>6</v>
      </c>
    </row>
    <row r="33" spans="1:19" x14ac:dyDescent="0.25">
      <c r="A33" s="2">
        <v>39925</v>
      </c>
      <c r="B33" s="3">
        <v>0.54027777777777775</v>
      </c>
      <c r="C33" s="1">
        <v>178</v>
      </c>
      <c r="D33" t="s">
        <v>19</v>
      </c>
      <c r="E33" s="1">
        <v>0</v>
      </c>
      <c r="F33" s="1">
        <v>0</v>
      </c>
      <c r="G33" s="1">
        <v>1</v>
      </c>
      <c r="H33">
        <v>0</v>
      </c>
      <c r="I33">
        <v>0</v>
      </c>
      <c r="J33">
        <v>0</v>
      </c>
      <c r="K33">
        <v>0</v>
      </c>
      <c r="S33" t="s">
        <v>6</v>
      </c>
    </row>
    <row r="34" spans="1:19" x14ac:dyDescent="0.25">
      <c r="A34" s="2">
        <v>39925</v>
      </c>
      <c r="B34" s="3">
        <v>0.64513888888888882</v>
      </c>
      <c r="C34" s="1">
        <v>96</v>
      </c>
      <c r="D34" t="s">
        <v>19</v>
      </c>
      <c r="E34" s="1">
        <v>0</v>
      </c>
      <c r="F34" s="1">
        <v>0</v>
      </c>
      <c r="G34" s="1">
        <v>1</v>
      </c>
      <c r="H34">
        <v>0</v>
      </c>
      <c r="I34">
        <v>0</v>
      </c>
      <c r="J34">
        <v>0</v>
      </c>
      <c r="K34">
        <v>0</v>
      </c>
      <c r="S34" t="s">
        <v>6</v>
      </c>
    </row>
    <row r="35" spans="1:19" x14ac:dyDescent="0.25">
      <c r="A35" s="2">
        <v>39926</v>
      </c>
      <c r="B35" s="3">
        <v>0.67152777777777783</v>
      </c>
      <c r="C35" s="1">
        <v>95</v>
      </c>
      <c r="D35" t="s">
        <v>19</v>
      </c>
      <c r="E35" s="1">
        <v>0</v>
      </c>
      <c r="F35" s="1">
        <v>0</v>
      </c>
      <c r="G35" s="1">
        <v>1</v>
      </c>
      <c r="H35">
        <v>0</v>
      </c>
      <c r="I35">
        <v>0</v>
      </c>
      <c r="J35">
        <v>0</v>
      </c>
      <c r="K35">
        <v>0</v>
      </c>
      <c r="S35" t="s">
        <v>6</v>
      </c>
    </row>
    <row r="36" spans="1:19" x14ac:dyDescent="0.25">
      <c r="A36" s="2">
        <v>39927</v>
      </c>
      <c r="B36" s="3">
        <v>0.26041666666666669</v>
      </c>
      <c r="C36" s="1">
        <v>137</v>
      </c>
      <c r="D36" t="s">
        <v>19</v>
      </c>
      <c r="E36" s="1">
        <v>1</v>
      </c>
      <c r="F36" s="1">
        <v>0</v>
      </c>
      <c r="G36" s="1">
        <v>0</v>
      </c>
      <c r="H36">
        <v>0</v>
      </c>
      <c r="I36">
        <v>0</v>
      </c>
      <c r="J36">
        <v>0</v>
      </c>
      <c r="K36">
        <v>0</v>
      </c>
      <c r="S36" t="s">
        <v>4</v>
      </c>
    </row>
    <row r="37" spans="1:19" x14ac:dyDescent="0.25">
      <c r="A37" s="2">
        <v>39927</v>
      </c>
      <c r="B37" s="3">
        <v>0.6958333333333333</v>
      </c>
      <c r="C37" s="1">
        <v>95</v>
      </c>
      <c r="D37" t="s">
        <v>19</v>
      </c>
      <c r="E37" s="1">
        <v>0</v>
      </c>
      <c r="F37" s="1">
        <v>0</v>
      </c>
      <c r="G37" s="1">
        <v>1</v>
      </c>
      <c r="H37">
        <v>0</v>
      </c>
      <c r="I37">
        <v>0</v>
      </c>
      <c r="J37">
        <v>0</v>
      </c>
      <c r="K37">
        <v>0</v>
      </c>
      <c r="S37" t="s">
        <v>6</v>
      </c>
    </row>
    <row r="38" spans="1:19" x14ac:dyDescent="0.25">
      <c r="A38" s="2">
        <v>39928</v>
      </c>
      <c r="B38" s="3">
        <v>0.30069444444444443</v>
      </c>
      <c r="C38" s="1">
        <v>107</v>
      </c>
      <c r="D38" t="s">
        <v>19</v>
      </c>
      <c r="E38" s="1">
        <v>1</v>
      </c>
      <c r="F38" s="1">
        <v>0</v>
      </c>
      <c r="G38" s="1">
        <v>0</v>
      </c>
      <c r="H38">
        <v>0</v>
      </c>
      <c r="I38">
        <v>0</v>
      </c>
      <c r="J38">
        <v>0</v>
      </c>
      <c r="K38">
        <v>0</v>
      </c>
      <c r="S38" t="s">
        <v>4</v>
      </c>
    </row>
    <row r="39" spans="1:19" x14ac:dyDescent="0.25">
      <c r="A39" s="2">
        <v>39928</v>
      </c>
      <c r="B39" s="3">
        <v>0.6118055555555556</v>
      </c>
      <c r="C39" s="1">
        <v>178</v>
      </c>
      <c r="D39" t="s">
        <v>19</v>
      </c>
      <c r="E39" s="1">
        <v>0</v>
      </c>
      <c r="F39" s="1">
        <v>0</v>
      </c>
      <c r="G39" s="1">
        <v>1</v>
      </c>
      <c r="H39">
        <v>0</v>
      </c>
      <c r="I39">
        <v>0</v>
      </c>
      <c r="J39">
        <v>0</v>
      </c>
      <c r="K39">
        <v>0</v>
      </c>
      <c r="S39" t="s">
        <v>6</v>
      </c>
    </row>
    <row r="40" spans="1:19" x14ac:dyDescent="0.25">
      <c r="A40" s="2">
        <v>39929</v>
      </c>
      <c r="B40" s="3">
        <v>0.82013888888888886</v>
      </c>
      <c r="C40" s="1">
        <v>109</v>
      </c>
      <c r="D40" t="s">
        <v>19</v>
      </c>
      <c r="E40" s="1">
        <v>0</v>
      </c>
      <c r="F40" s="1">
        <v>0</v>
      </c>
      <c r="G40" s="1">
        <v>1</v>
      </c>
      <c r="H40">
        <v>0</v>
      </c>
      <c r="I40">
        <v>0</v>
      </c>
      <c r="J40">
        <v>0</v>
      </c>
      <c r="K40">
        <v>0</v>
      </c>
      <c r="S40" t="s">
        <v>6</v>
      </c>
    </row>
    <row r="41" spans="1:19" x14ac:dyDescent="0.25">
      <c r="A41" s="2">
        <v>39930</v>
      </c>
      <c r="B41" s="3">
        <v>0.25833333333333336</v>
      </c>
      <c r="C41" s="1">
        <v>119</v>
      </c>
      <c r="D41" t="s">
        <v>19</v>
      </c>
      <c r="E41" s="1">
        <v>1</v>
      </c>
      <c r="F41" s="1">
        <v>0</v>
      </c>
      <c r="G41" s="1">
        <v>0</v>
      </c>
      <c r="H41">
        <v>0</v>
      </c>
      <c r="I41">
        <v>0</v>
      </c>
      <c r="J41">
        <v>0</v>
      </c>
      <c r="K41">
        <v>0</v>
      </c>
      <c r="S41" t="s">
        <v>4</v>
      </c>
    </row>
    <row r="42" spans="1:19" x14ac:dyDescent="0.25">
      <c r="A42" s="2">
        <v>39930</v>
      </c>
      <c r="B42" s="3">
        <v>0.72638888888888886</v>
      </c>
      <c r="C42" s="1">
        <v>123</v>
      </c>
      <c r="D42" t="s">
        <v>19</v>
      </c>
      <c r="E42" s="1">
        <v>0</v>
      </c>
      <c r="F42" s="1">
        <v>0</v>
      </c>
      <c r="G42" s="1">
        <v>1</v>
      </c>
      <c r="H42">
        <v>0</v>
      </c>
      <c r="I42">
        <v>0</v>
      </c>
      <c r="J42">
        <v>0</v>
      </c>
      <c r="K42">
        <v>0</v>
      </c>
      <c r="S42" t="s">
        <v>6</v>
      </c>
    </row>
    <row r="43" spans="1:19" x14ac:dyDescent="0.25">
      <c r="A43" s="2">
        <v>39931</v>
      </c>
      <c r="B43" s="3">
        <v>0.17222222222222225</v>
      </c>
      <c r="C43" s="1">
        <v>121</v>
      </c>
      <c r="D43" t="s">
        <v>19</v>
      </c>
      <c r="E43" s="1">
        <v>1</v>
      </c>
      <c r="F43" s="1">
        <v>0</v>
      </c>
      <c r="G43" s="1">
        <v>0</v>
      </c>
      <c r="H43">
        <v>0</v>
      </c>
      <c r="I43">
        <v>0</v>
      </c>
      <c r="J43">
        <v>0</v>
      </c>
      <c r="K43">
        <v>0</v>
      </c>
      <c r="S43" t="s">
        <v>4</v>
      </c>
    </row>
    <row r="44" spans="1:19" x14ac:dyDescent="0.25">
      <c r="A44" s="2">
        <v>39931</v>
      </c>
      <c r="B44" s="3">
        <v>0.76180555555555562</v>
      </c>
      <c r="C44" s="1">
        <v>152</v>
      </c>
      <c r="D44" t="s">
        <v>19</v>
      </c>
      <c r="E44" s="1">
        <v>0</v>
      </c>
      <c r="F44" s="1">
        <v>0</v>
      </c>
      <c r="G44" s="1">
        <v>1</v>
      </c>
      <c r="H44">
        <v>0</v>
      </c>
      <c r="I44">
        <v>0</v>
      </c>
      <c r="J44">
        <v>0</v>
      </c>
      <c r="K44">
        <v>0</v>
      </c>
      <c r="S44" t="s">
        <v>6</v>
      </c>
    </row>
    <row r="45" spans="1:19" x14ac:dyDescent="0.25">
      <c r="A45" s="2">
        <v>39932</v>
      </c>
      <c r="B45" s="3">
        <v>0.24374999999999999</v>
      </c>
      <c r="C45" s="1">
        <v>108</v>
      </c>
      <c r="D45" t="s">
        <v>19</v>
      </c>
      <c r="E45" s="1">
        <v>1</v>
      </c>
      <c r="F45" s="1">
        <v>0</v>
      </c>
      <c r="G45" s="1">
        <v>0</v>
      </c>
      <c r="H45">
        <v>0</v>
      </c>
      <c r="I45">
        <v>0</v>
      </c>
      <c r="J45">
        <v>0</v>
      </c>
      <c r="K45">
        <v>0</v>
      </c>
      <c r="S45" t="s">
        <v>4</v>
      </c>
    </row>
    <row r="46" spans="1:19" x14ac:dyDescent="0.25">
      <c r="A46" s="2">
        <v>39932</v>
      </c>
      <c r="B46" s="3">
        <v>0.56388888888888888</v>
      </c>
      <c r="C46" s="1">
        <v>109</v>
      </c>
      <c r="D46" t="s">
        <v>19</v>
      </c>
      <c r="E46" s="1">
        <v>0</v>
      </c>
      <c r="F46" s="1">
        <v>0</v>
      </c>
      <c r="G46" s="1">
        <v>1</v>
      </c>
      <c r="H46">
        <v>0</v>
      </c>
      <c r="I46">
        <v>0</v>
      </c>
      <c r="J46">
        <v>0</v>
      </c>
      <c r="K46">
        <v>0</v>
      </c>
      <c r="S46" t="s">
        <v>6</v>
      </c>
    </row>
    <row r="47" spans="1:19" x14ac:dyDescent="0.25">
      <c r="A47" s="2">
        <v>39932</v>
      </c>
      <c r="B47" s="3">
        <v>0.73472222222222217</v>
      </c>
      <c r="C47" s="1">
        <v>114</v>
      </c>
      <c r="D47" t="s">
        <v>19</v>
      </c>
      <c r="E47" s="1">
        <v>0</v>
      </c>
      <c r="F47" s="1">
        <v>0</v>
      </c>
      <c r="G47" s="1">
        <v>1</v>
      </c>
      <c r="H47">
        <v>0</v>
      </c>
      <c r="I47">
        <v>0</v>
      </c>
      <c r="J47">
        <v>0</v>
      </c>
      <c r="K47">
        <v>0</v>
      </c>
      <c r="S47" t="s">
        <v>6</v>
      </c>
    </row>
    <row r="48" spans="1:19" x14ac:dyDescent="0.25">
      <c r="A48" s="2">
        <v>39933</v>
      </c>
      <c r="B48" s="3">
        <v>0.24861111111111112</v>
      </c>
      <c r="C48" s="1">
        <v>122</v>
      </c>
      <c r="D48" t="s">
        <v>19</v>
      </c>
      <c r="E48" s="1">
        <v>1</v>
      </c>
      <c r="F48" s="1">
        <v>0</v>
      </c>
      <c r="G48" s="1">
        <v>0</v>
      </c>
      <c r="H48">
        <v>0</v>
      </c>
      <c r="I48">
        <v>0</v>
      </c>
      <c r="J48">
        <v>0</v>
      </c>
      <c r="K48">
        <v>0</v>
      </c>
      <c r="S48" t="s">
        <v>4</v>
      </c>
    </row>
    <row r="49" spans="1:19" x14ac:dyDescent="0.25">
      <c r="A49" s="2">
        <v>39933</v>
      </c>
      <c r="B49" s="3">
        <v>0.81805555555555554</v>
      </c>
      <c r="C49" s="1">
        <v>93</v>
      </c>
      <c r="D49" t="s">
        <v>19</v>
      </c>
      <c r="E49" s="1">
        <v>0</v>
      </c>
      <c r="F49" s="1">
        <v>0</v>
      </c>
      <c r="G49" s="1">
        <v>1</v>
      </c>
      <c r="H49">
        <v>0</v>
      </c>
      <c r="I49">
        <v>0</v>
      </c>
      <c r="J49">
        <v>0</v>
      </c>
      <c r="K49">
        <v>0</v>
      </c>
      <c r="S49" t="s">
        <v>6</v>
      </c>
    </row>
    <row r="50" spans="1:19" x14ac:dyDescent="0.25">
      <c r="A50" s="2">
        <v>39934</v>
      </c>
      <c r="B50" s="3">
        <v>0.28125</v>
      </c>
      <c r="C50" s="1">
        <v>203</v>
      </c>
      <c r="D50" t="s">
        <v>19</v>
      </c>
      <c r="E50" s="1">
        <v>0</v>
      </c>
      <c r="F50" s="1">
        <v>0</v>
      </c>
      <c r="G50" s="1">
        <v>1</v>
      </c>
      <c r="H50">
        <v>0</v>
      </c>
      <c r="I50">
        <v>0</v>
      </c>
      <c r="J50">
        <v>0</v>
      </c>
      <c r="K50">
        <v>0</v>
      </c>
      <c r="S50" t="s">
        <v>6</v>
      </c>
    </row>
    <row r="51" spans="1:19" x14ac:dyDescent="0.25">
      <c r="A51" s="2">
        <v>39934</v>
      </c>
      <c r="B51" s="3">
        <v>0.46388888888888885</v>
      </c>
      <c r="C51" s="1">
        <v>114</v>
      </c>
      <c r="D51" t="s">
        <v>19</v>
      </c>
      <c r="E51" s="1">
        <v>0</v>
      </c>
      <c r="F51" s="1">
        <v>1</v>
      </c>
      <c r="G51" s="1">
        <v>0</v>
      </c>
      <c r="H51">
        <v>0</v>
      </c>
      <c r="I51">
        <v>0</v>
      </c>
      <c r="J51">
        <v>0</v>
      </c>
      <c r="K51">
        <v>0</v>
      </c>
      <c r="S51" t="s">
        <v>20</v>
      </c>
    </row>
    <row r="52" spans="1:19" x14ac:dyDescent="0.25">
      <c r="A52" s="2">
        <v>39934</v>
      </c>
      <c r="B52" s="3">
        <v>0.60763888888888895</v>
      </c>
      <c r="C52" s="1">
        <v>182</v>
      </c>
      <c r="D52" t="s">
        <v>19</v>
      </c>
      <c r="E52" s="1">
        <v>0</v>
      </c>
      <c r="F52" s="1">
        <v>0</v>
      </c>
      <c r="G52" s="1">
        <v>1</v>
      </c>
      <c r="H52">
        <v>0</v>
      </c>
      <c r="I52">
        <v>0</v>
      </c>
      <c r="J52">
        <v>0</v>
      </c>
      <c r="K52">
        <v>0</v>
      </c>
      <c r="S52" t="s">
        <v>6</v>
      </c>
    </row>
    <row r="53" spans="1:19" x14ac:dyDescent="0.25">
      <c r="A53" s="2">
        <v>39935</v>
      </c>
      <c r="B53" s="3">
        <v>0.20555555555555557</v>
      </c>
      <c r="C53" s="1">
        <v>137</v>
      </c>
      <c r="D53" t="s">
        <v>19</v>
      </c>
      <c r="E53" s="1">
        <v>1</v>
      </c>
      <c r="F53" s="1">
        <v>0</v>
      </c>
      <c r="G53" s="1">
        <v>0</v>
      </c>
      <c r="H53">
        <v>0</v>
      </c>
      <c r="I53">
        <v>0</v>
      </c>
      <c r="J53">
        <v>0</v>
      </c>
      <c r="K53">
        <v>0</v>
      </c>
      <c r="S53" t="s">
        <v>4</v>
      </c>
    </row>
    <row r="54" spans="1:19" x14ac:dyDescent="0.25">
      <c r="A54" s="2">
        <v>39935</v>
      </c>
      <c r="B54" s="3">
        <v>0.34027777777777773</v>
      </c>
      <c r="C54" s="1">
        <v>116</v>
      </c>
      <c r="D54" t="s">
        <v>19</v>
      </c>
      <c r="E54" s="1">
        <v>0</v>
      </c>
      <c r="F54" s="1">
        <v>0</v>
      </c>
      <c r="G54" s="1">
        <v>1</v>
      </c>
      <c r="H54">
        <v>0</v>
      </c>
      <c r="I54">
        <v>0</v>
      </c>
      <c r="J54">
        <v>0</v>
      </c>
      <c r="K54">
        <v>0</v>
      </c>
      <c r="S54" t="s">
        <v>6</v>
      </c>
    </row>
    <row r="55" spans="1:19" x14ac:dyDescent="0.25">
      <c r="A55" s="2">
        <v>39935</v>
      </c>
      <c r="B55" s="3">
        <v>0.79027777777777775</v>
      </c>
      <c r="C55" s="1">
        <v>147</v>
      </c>
      <c r="D55" t="s">
        <v>19</v>
      </c>
      <c r="E55" s="1">
        <v>0</v>
      </c>
      <c r="F55" s="1">
        <v>0</v>
      </c>
      <c r="G55" s="1">
        <v>1</v>
      </c>
      <c r="H55">
        <v>0</v>
      </c>
      <c r="I55">
        <v>0</v>
      </c>
      <c r="J55">
        <v>0</v>
      </c>
      <c r="K55">
        <v>0</v>
      </c>
      <c r="S55" t="s">
        <v>6</v>
      </c>
    </row>
    <row r="56" spans="1:19" x14ac:dyDescent="0.25">
      <c r="A56" s="2">
        <v>39936</v>
      </c>
      <c r="B56" s="3">
        <v>0.29375000000000001</v>
      </c>
      <c r="C56" s="1">
        <v>128</v>
      </c>
      <c r="D56" t="s">
        <v>19</v>
      </c>
      <c r="E56" s="1">
        <v>1</v>
      </c>
      <c r="F56" s="1">
        <v>0</v>
      </c>
      <c r="G56" s="1">
        <v>0</v>
      </c>
      <c r="H56">
        <v>0</v>
      </c>
      <c r="I56">
        <v>0</v>
      </c>
      <c r="J56">
        <v>0</v>
      </c>
      <c r="K56">
        <v>0</v>
      </c>
      <c r="S56" t="s">
        <v>4</v>
      </c>
    </row>
    <row r="57" spans="1:19" x14ac:dyDescent="0.25">
      <c r="A57" s="2">
        <v>39936</v>
      </c>
      <c r="B57" s="3">
        <v>0.78333333333333333</v>
      </c>
      <c r="C57" s="1">
        <v>108</v>
      </c>
      <c r="D57" t="s">
        <v>19</v>
      </c>
      <c r="E57" s="1">
        <v>0</v>
      </c>
      <c r="F57" s="1">
        <v>0</v>
      </c>
      <c r="G57" s="1">
        <v>1</v>
      </c>
      <c r="H57">
        <v>0</v>
      </c>
      <c r="I57">
        <v>0</v>
      </c>
      <c r="J57">
        <v>0</v>
      </c>
      <c r="K57">
        <v>0</v>
      </c>
      <c r="S57" t="s">
        <v>6</v>
      </c>
    </row>
    <row r="58" spans="1:19" x14ac:dyDescent="0.25">
      <c r="A58" s="2">
        <v>39937</v>
      </c>
      <c r="B58" s="3">
        <v>0.28819444444444448</v>
      </c>
      <c r="C58" s="1">
        <v>222</v>
      </c>
      <c r="D58" t="s">
        <v>19</v>
      </c>
      <c r="E58" s="1">
        <v>1</v>
      </c>
      <c r="F58" s="1">
        <v>0</v>
      </c>
      <c r="G58" s="1">
        <v>0</v>
      </c>
      <c r="H58">
        <v>0</v>
      </c>
      <c r="I58">
        <v>0</v>
      </c>
      <c r="J58">
        <v>0</v>
      </c>
      <c r="K58">
        <v>0</v>
      </c>
      <c r="S58" t="s">
        <v>4</v>
      </c>
    </row>
    <row r="59" spans="1:19" x14ac:dyDescent="0.25">
      <c r="A59" s="2">
        <v>39937</v>
      </c>
      <c r="B59" s="3">
        <v>0.70208333333333339</v>
      </c>
      <c r="C59" s="1">
        <v>115</v>
      </c>
      <c r="D59" t="s">
        <v>19</v>
      </c>
      <c r="E59" s="1">
        <v>0</v>
      </c>
      <c r="F59" s="1">
        <v>0</v>
      </c>
      <c r="G59" s="1">
        <v>1</v>
      </c>
      <c r="H59">
        <v>0</v>
      </c>
      <c r="I59">
        <v>0</v>
      </c>
      <c r="J59">
        <v>0</v>
      </c>
      <c r="K59">
        <v>0</v>
      </c>
      <c r="S59" t="s">
        <v>6</v>
      </c>
    </row>
    <row r="60" spans="1:19" x14ac:dyDescent="0.25">
      <c r="A60" s="2">
        <v>39938</v>
      </c>
      <c r="B60" s="3">
        <v>0.2388888888888889</v>
      </c>
      <c r="C60" s="1">
        <v>118</v>
      </c>
      <c r="D60" t="s">
        <v>19</v>
      </c>
      <c r="E60" s="1">
        <v>1</v>
      </c>
      <c r="F60" s="1">
        <v>0</v>
      </c>
      <c r="G60" s="1">
        <v>0</v>
      </c>
      <c r="H60">
        <v>0</v>
      </c>
      <c r="I60">
        <v>0</v>
      </c>
      <c r="J60">
        <v>0</v>
      </c>
      <c r="K60">
        <v>0</v>
      </c>
      <c r="S60" t="s">
        <v>4</v>
      </c>
    </row>
    <row r="61" spans="1:19" x14ac:dyDescent="0.25">
      <c r="A61" s="2">
        <v>39938</v>
      </c>
      <c r="B61" s="3">
        <v>0.57500000000000007</v>
      </c>
      <c r="C61" s="1">
        <v>120</v>
      </c>
      <c r="D61" t="s">
        <v>19</v>
      </c>
      <c r="E61" s="1">
        <v>0</v>
      </c>
      <c r="F61" s="1">
        <v>1</v>
      </c>
      <c r="G61" s="1">
        <v>0</v>
      </c>
      <c r="H61">
        <v>0</v>
      </c>
      <c r="I61">
        <v>0</v>
      </c>
      <c r="J61">
        <v>0</v>
      </c>
      <c r="K61">
        <v>0</v>
      </c>
      <c r="S61" t="s">
        <v>20</v>
      </c>
    </row>
    <row r="62" spans="1:19" x14ac:dyDescent="0.25">
      <c r="A62" s="2">
        <v>39939</v>
      </c>
      <c r="B62" s="3">
        <v>0.2638888888888889</v>
      </c>
      <c r="C62" s="1">
        <v>126</v>
      </c>
      <c r="D62" t="s">
        <v>19</v>
      </c>
      <c r="E62" s="1">
        <v>1</v>
      </c>
      <c r="F62" s="1">
        <v>0</v>
      </c>
      <c r="G62" s="1">
        <v>0</v>
      </c>
      <c r="H62">
        <v>0</v>
      </c>
      <c r="I62">
        <v>0</v>
      </c>
      <c r="J62">
        <v>0</v>
      </c>
      <c r="K62">
        <v>0</v>
      </c>
      <c r="S62" t="s">
        <v>4</v>
      </c>
    </row>
    <row r="63" spans="1:19" x14ac:dyDescent="0.25">
      <c r="A63" s="2">
        <v>39939</v>
      </c>
      <c r="B63" s="3">
        <v>0.76874999999999993</v>
      </c>
      <c r="C63" s="1">
        <v>111</v>
      </c>
      <c r="D63" t="s">
        <v>19</v>
      </c>
      <c r="E63" s="1">
        <v>0</v>
      </c>
      <c r="F63" s="1">
        <v>1</v>
      </c>
      <c r="G63" s="1">
        <v>0</v>
      </c>
      <c r="H63">
        <v>0</v>
      </c>
      <c r="I63">
        <v>0</v>
      </c>
      <c r="J63">
        <v>0</v>
      </c>
      <c r="K63">
        <v>0</v>
      </c>
      <c r="S63" t="s">
        <v>20</v>
      </c>
    </row>
    <row r="64" spans="1:19" x14ac:dyDescent="0.25">
      <c r="A64" s="2">
        <v>39940</v>
      </c>
      <c r="B64" s="3">
        <v>0.24444444444444446</v>
      </c>
      <c r="C64" s="1">
        <v>138</v>
      </c>
      <c r="D64" t="s">
        <v>19</v>
      </c>
      <c r="E64" s="1">
        <v>1</v>
      </c>
      <c r="F64" s="1">
        <v>0</v>
      </c>
      <c r="G64" s="1">
        <v>0</v>
      </c>
      <c r="H64">
        <v>0</v>
      </c>
      <c r="I64">
        <v>0</v>
      </c>
      <c r="J64">
        <v>0</v>
      </c>
      <c r="K64">
        <v>0</v>
      </c>
      <c r="S64" t="s">
        <v>4</v>
      </c>
    </row>
    <row r="65" spans="1:19" x14ac:dyDescent="0.25">
      <c r="A65" s="2">
        <v>39940</v>
      </c>
      <c r="B65" s="3">
        <v>0.51944444444444449</v>
      </c>
      <c r="C65" s="1">
        <v>143</v>
      </c>
      <c r="D65" t="s">
        <v>19</v>
      </c>
      <c r="E65" s="1">
        <v>0</v>
      </c>
      <c r="F65" s="1">
        <v>0</v>
      </c>
      <c r="G65" s="1">
        <v>1</v>
      </c>
      <c r="H65">
        <v>0</v>
      </c>
      <c r="I65">
        <v>0</v>
      </c>
      <c r="J65">
        <v>0</v>
      </c>
      <c r="K65">
        <v>0</v>
      </c>
      <c r="S65" t="s">
        <v>6</v>
      </c>
    </row>
    <row r="66" spans="1:19" x14ac:dyDescent="0.25">
      <c r="A66" s="2">
        <v>39940</v>
      </c>
      <c r="B66" s="3">
        <v>0.68263888888888891</v>
      </c>
      <c r="C66" s="1">
        <v>99</v>
      </c>
      <c r="D66" t="s">
        <v>19</v>
      </c>
      <c r="E66" s="1">
        <v>0</v>
      </c>
      <c r="F66" s="1">
        <v>0</v>
      </c>
      <c r="G66" s="1">
        <v>1</v>
      </c>
      <c r="H66">
        <v>0</v>
      </c>
      <c r="I66">
        <v>0</v>
      </c>
      <c r="J66">
        <v>0</v>
      </c>
      <c r="K66">
        <v>0</v>
      </c>
      <c r="S66" t="s">
        <v>6</v>
      </c>
    </row>
    <row r="67" spans="1:19" x14ac:dyDescent="0.25">
      <c r="A67" s="2">
        <v>39941</v>
      </c>
      <c r="B67" s="3">
        <v>0.23750000000000002</v>
      </c>
      <c r="C67" s="1">
        <v>127</v>
      </c>
      <c r="D67" t="s">
        <v>19</v>
      </c>
      <c r="E67" s="1">
        <v>1</v>
      </c>
      <c r="F67" s="1">
        <v>0</v>
      </c>
      <c r="G67" s="1">
        <v>0</v>
      </c>
      <c r="H67">
        <v>0</v>
      </c>
      <c r="I67">
        <v>0</v>
      </c>
      <c r="J67">
        <v>0</v>
      </c>
      <c r="K67">
        <v>0</v>
      </c>
      <c r="S67" t="s">
        <v>4</v>
      </c>
    </row>
    <row r="68" spans="1:19" x14ac:dyDescent="0.25">
      <c r="A68" s="2">
        <v>39941</v>
      </c>
      <c r="B68" s="3">
        <v>0.34027777777777773</v>
      </c>
      <c r="C68" s="1">
        <v>99</v>
      </c>
      <c r="D68" t="s">
        <v>19</v>
      </c>
      <c r="E68" s="1">
        <v>0</v>
      </c>
      <c r="F68" s="1">
        <v>0</v>
      </c>
      <c r="G68" s="1">
        <v>1</v>
      </c>
      <c r="H68">
        <v>0</v>
      </c>
      <c r="I68">
        <v>0</v>
      </c>
      <c r="J68">
        <v>0</v>
      </c>
      <c r="K68">
        <v>0</v>
      </c>
      <c r="S68" t="s">
        <v>6</v>
      </c>
    </row>
    <row r="69" spans="1:19" x14ac:dyDescent="0.25">
      <c r="A69" s="2">
        <v>39941</v>
      </c>
      <c r="B69" s="3">
        <v>0.89027777777777783</v>
      </c>
      <c r="C69" s="1">
        <v>109</v>
      </c>
      <c r="D69" t="s">
        <v>19</v>
      </c>
      <c r="E69" s="1">
        <v>0</v>
      </c>
      <c r="F69" s="1">
        <v>1</v>
      </c>
      <c r="G69" s="1">
        <v>0</v>
      </c>
      <c r="H69">
        <v>0</v>
      </c>
      <c r="I69">
        <v>0</v>
      </c>
      <c r="J69">
        <v>0</v>
      </c>
      <c r="K69">
        <v>0</v>
      </c>
      <c r="S69" t="s">
        <v>20</v>
      </c>
    </row>
    <row r="70" spans="1:19" x14ac:dyDescent="0.25">
      <c r="A70" s="2">
        <v>39942</v>
      </c>
      <c r="B70" s="3">
        <v>0.27638888888888885</v>
      </c>
      <c r="C70" s="1">
        <v>128</v>
      </c>
      <c r="D70" t="s">
        <v>19</v>
      </c>
      <c r="E70" s="1">
        <v>0</v>
      </c>
      <c r="F70" s="1">
        <v>0</v>
      </c>
      <c r="G70" s="1">
        <v>1</v>
      </c>
      <c r="H70">
        <v>0</v>
      </c>
      <c r="I70">
        <v>0</v>
      </c>
      <c r="J70">
        <v>0</v>
      </c>
      <c r="K70">
        <v>0</v>
      </c>
      <c r="S70" t="s">
        <v>6</v>
      </c>
    </row>
    <row r="71" spans="1:19" x14ac:dyDescent="0.25">
      <c r="A71" s="2">
        <v>39942</v>
      </c>
      <c r="B71" s="3">
        <v>0.54652777777777783</v>
      </c>
      <c r="C71" s="1">
        <v>105</v>
      </c>
      <c r="D71" t="s">
        <v>19</v>
      </c>
      <c r="E71" s="1">
        <v>0</v>
      </c>
      <c r="F71" s="1">
        <v>1</v>
      </c>
      <c r="G71" s="1">
        <v>0</v>
      </c>
      <c r="H71">
        <v>0</v>
      </c>
      <c r="I71">
        <v>0</v>
      </c>
      <c r="J71">
        <v>0</v>
      </c>
      <c r="K71">
        <v>0</v>
      </c>
      <c r="S71" t="s">
        <v>20</v>
      </c>
    </row>
    <row r="72" spans="1:19" x14ac:dyDescent="0.25">
      <c r="A72" s="2">
        <v>39942</v>
      </c>
      <c r="B72" s="3">
        <v>0.69097222222222221</v>
      </c>
      <c r="C72" s="1">
        <v>91</v>
      </c>
      <c r="D72" t="s">
        <v>19</v>
      </c>
      <c r="E72" s="1">
        <v>0</v>
      </c>
      <c r="F72" s="1">
        <v>1</v>
      </c>
      <c r="G72" s="1">
        <v>0</v>
      </c>
      <c r="H72">
        <v>0</v>
      </c>
      <c r="I72">
        <v>0</v>
      </c>
      <c r="J72">
        <v>0</v>
      </c>
      <c r="K72">
        <v>0</v>
      </c>
      <c r="S72" t="s">
        <v>20</v>
      </c>
    </row>
    <row r="73" spans="1:19" x14ac:dyDescent="0.25">
      <c r="A73" s="2">
        <v>39943</v>
      </c>
      <c r="B73" s="3">
        <v>0.24583333333333335</v>
      </c>
      <c r="C73" s="1">
        <v>140</v>
      </c>
      <c r="D73" t="s">
        <v>19</v>
      </c>
      <c r="E73" s="1">
        <v>1</v>
      </c>
      <c r="F73" s="1">
        <v>0</v>
      </c>
      <c r="G73" s="1">
        <v>0</v>
      </c>
      <c r="H73">
        <v>0</v>
      </c>
      <c r="I73">
        <v>0</v>
      </c>
      <c r="J73">
        <v>0</v>
      </c>
      <c r="K73">
        <v>0</v>
      </c>
      <c r="S73" t="s">
        <v>4</v>
      </c>
    </row>
    <row r="74" spans="1:19" x14ac:dyDescent="0.25">
      <c r="A74" s="2">
        <v>39943</v>
      </c>
      <c r="B74" s="3">
        <v>0.32569444444444445</v>
      </c>
      <c r="C74" s="1">
        <v>114</v>
      </c>
      <c r="D74" t="s">
        <v>19</v>
      </c>
      <c r="E74" s="1">
        <v>0</v>
      </c>
      <c r="F74" s="1">
        <v>1</v>
      </c>
      <c r="G74" s="1">
        <v>0</v>
      </c>
      <c r="H74">
        <v>0</v>
      </c>
      <c r="I74">
        <v>0</v>
      </c>
      <c r="J74">
        <v>0</v>
      </c>
      <c r="K74">
        <v>0</v>
      </c>
      <c r="S74" t="s">
        <v>20</v>
      </c>
    </row>
    <row r="75" spans="1:19" x14ac:dyDescent="0.25">
      <c r="A75" s="2">
        <v>39943</v>
      </c>
      <c r="B75" s="3">
        <v>0.68680555555555556</v>
      </c>
      <c r="C75" s="1">
        <v>103</v>
      </c>
      <c r="D75" t="s">
        <v>19</v>
      </c>
      <c r="E75" s="1">
        <v>0</v>
      </c>
      <c r="F75" s="1">
        <v>1</v>
      </c>
      <c r="G75" s="1">
        <v>0</v>
      </c>
      <c r="H75">
        <v>0</v>
      </c>
      <c r="I75">
        <v>0</v>
      </c>
      <c r="J75">
        <v>0</v>
      </c>
      <c r="K75">
        <v>0</v>
      </c>
      <c r="S75" t="s">
        <v>20</v>
      </c>
    </row>
    <row r="76" spans="1:19" x14ac:dyDescent="0.25">
      <c r="A76" s="2">
        <v>39944</v>
      </c>
      <c r="B76" s="3">
        <v>0.16250000000000001</v>
      </c>
      <c r="C76" s="1">
        <v>178</v>
      </c>
      <c r="D76" t="s">
        <v>19</v>
      </c>
      <c r="E76" s="1">
        <v>1</v>
      </c>
      <c r="F76" s="1">
        <v>0</v>
      </c>
      <c r="G76" s="1">
        <v>0</v>
      </c>
      <c r="H76">
        <v>0</v>
      </c>
      <c r="I76">
        <v>0</v>
      </c>
      <c r="J76">
        <v>0</v>
      </c>
      <c r="K76">
        <v>0</v>
      </c>
      <c r="S76" t="s">
        <v>4</v>
      </c>
    </row>
    <row r="77" spans="1:19" x14ac:dyDescent="0.25">
      <c r="A77" s="2">
        <v>39944</v>
      </c>
      <c r="B77" s="3">
        <v>0.30555555555555552</v>
      </c>
      <c r="C77" s="1">
        <v>125</v>
      </c>
      <c r="D77" t="s">
        <v>19</v>
      </c>
      <c r="E77" s="1">
        <v>0</v>
      </c>
      <c r="F77" s="1">
        <v>1</v>
      </c>
      <c r="G77" s="1">
        <v>0</v>
      </c>
      <c r="H77">
        <v>0</v>
      </c>
      <c r="I77">
        <v>0</v>
      </c>
      <c r="J77">
        <v>0</v>
      </c>
      <c r="K77">
        <v>0</v>
      </c>
      <c r="S77" t="s">
        <v>20</v>
      </c>
    </row>
    <row r="78" spans="1:19" x14ac:dyDescent="0.25">
      <c r="A78" s="2">
        <v>39944</v>
      </c>
      <c r="B78" s="3">
        <v>0.55694444444444446</v>
      </c>
      <c r="C78" s="1">
        <v>147</v>
      </c>
      <c r="D78" t="s">
        <v>19</v>
      </c>
      <c r="E78" s="1">
        <v>0</v>
      </c>
      <c r="F78" s="1">
        <v>0</v>
      </c>
      <c r="G78" s="1">
        <v>1</v>
      </c>
      <c r="H78">
        <v>0</v>
      </c>
      <c r="I78">
        <v>0</v>
      </c>
      <c r="J78">
        <v>0</v>
      </c>
      <c r="K78">
        <v>0</v>
      </c>
      <c r="S78" t="s">
        <v>6</v>
      </c>
    </row>
    <row r="79" spans="1:19" x14ac:dyDescent="0.25">
      <c r="A79" s="2">
        <v>39944</v>
      </c>
      <c r="B79" s="3">
        <v>0.64861111111111114</v>
      </c>
      <c r="C79" s="1">
        <v>101</v>
      </c>
      <c r="D79" t="s">
        <v>19</v>
      </c>
      <c r="E79" s="1">
        <v>0</v>
      </c>
      <c r="F79" s="1">
        <v>1</v>
      </c>
      <c r="G79" s="1">
        <v>0</v>
      </c>
      <c r="H79">
        <v>0</v>
      </c>
      <c r="I79">
        <v>0</v>
      </c>
      <c r="J79">
        <v>0</v>
      </c>
      <c r="K79">
        <v>0</v>
      </c>
      <c r="S79" t="s">
        <v>20</v>
      </c>
    </row>
    <row r="80" spans="1:19" x14ac:dyDescent="0.25">
      <c r="A80" s="2">
        <v>39944</v>
      </c>
      <c r="B80" s="3">
        <v>0.7416666666666667</v>
      </c>
      <c r="C80" s="1">
        <v>128</v>
      </c>
      <c r="D80" t="s">
        <v>19</v>
      </c>
      <c r="E80" s="1">
        <v>0</v>
      </c>
      <c r="F80" s="1">
        <v>0</v>
      </c>
      <c r="G80" s="1">
        <v>1</v>
      </c>
      <c r="H80">
        <v>0</v>
      </c>
      <c r="I80">
        <v>0</v>
      </c>
      <c r="J80">
        <v>0</v>
      </c>
      <c r="K80">
        <v>0</v>
      </c>
      <c r="S80" t="s">
        <v>6</v>
      </c>
    </row>
    <row r="81" spans="1:19" x14ac:dyDescent="0.25">
      <c r="A81" s="2">
        <v>39945</v>
      </c>
      <c r="B81" s="3">
        <v>0.13541666666666666</v>
      </c>
      <c r="C81" s="1">
        <v>116</v>
      </c>
      <c r="D81" t="s">
        <v>19</v>
      </c>
      <c r="E81" s="1">
        <v>1</v>
      </c>
      <c r="F81" s="1">
        <v>0</v>
      </c>
      <c r="G81" s="1">
        <v>0</v>
      </c>
      <c r="H81">
        <v>0</v>
      </c>
      <c r="I81">
        <v>0</v>
      </c>
      <c r="J81">
        <v>0</v>
      </c>
      <c r="K81">
        <v>0</v>
      </c>
      <c r="S81" t="s">
        <v>4</v>
      </c>
    </row>
    <row r="82" spans="1:19" x14ac:dyDescent="0.25">
      <c r="A82" s="2">
        <v>39946</v>
      </c>
      <c r="B82" s="3">
        <v>0.25208333333333333</v>
      </c>
      <c r="C82" s="1">
        <v>137</v>
      </c>
      <c r="D82" t="s">
        <v>19</v>
      </c>
      <c r="E82" s="1">
        <v>1</v>
      </c>
      <c r="F82" s="1">
        <v>0</v>
      </c>
      <c r="G82" s="1">
        <v>0</v>
      </c>
      <c r="H82">
        <v>0</v>
      </c>
      <c r="I82">
        <v>0</v>
      </c>
      <c r="J82">
        <v>0</v>
      </c>
      <c r="K82">
        <v>0</v>
      </c>
      <c r="S82" t="s">
        <v>4</v>
      </c>
    </row>
    <row r="83" spans="1:19" x14ac:dyDescent="0.25">
      <c r="A83" s="2">
        <v>39946</v>
      </c>
      <c r="B83" s="3">
        <v>0.75555555555555554</v>
      </c>
      <c r="C83" s="1">
        <v>105</v>
      </c>
      <c r="D83" t="s">
        <v>19</v>
      </c>
      <c r="E83" s="1">
        <v>0</v>
      </c>
      <c r="F83" s="1">
        <v>0</v>
      </c>
      <c r="G83" s="1">
        <v>1</v>
      </c>
      <c r="H83">
        <v>0</v>
      </c>
      <c r="I83">
        <v>0</v>
      </c>
      <c r="J83">
        <v>0</v>
      </c>
      <c r="K83">
        <v>0</v>
      </c>
      <c r="S83" t="s">
        <v>6</v>
      </c>
    </row>
    <row r="84" spans="1:19" x14ac:dyDescent="0.25">
      <c r="A84" s="2">
        <v>39947</v>
      </c>
      <c r="B84" s="3">
        <v>0.54513888888888895</v>
      </c>
      <c r="C84" s="1">
        <v>125</v>
      </c>
      <c r="D84" t="s">
        <v>19</v>
      </c>
      <c r="E84" s="1">
        <v>0</v>
      </c>
      <c r="F84" s="1">
        <v>0</v>
      </c>
      <c r="G84" s="1">
        <v>1</v>
      </c>
      <c r="H84">
        <v>0</v>
      </c>
      <c r="I84">
        <v>0</v>
      </c>
      <c r="J84">
        <v>0</v>
      </c>
      <c r="K84">
        <v>0</v>
      </c>
      <c r="S84" t="s">
        <v>6</v>
      </c>
    </row>
    <row r="85" spans="1:19" x14ac:dyDescent="0.25">
      <c r="A85" s="2">
        <v>39948</v>
      </c>
      <c r="B85" s="3">
        <v>0.11944444444444445</v>
      </c>
      <c r="C85" s="1">
        <v>128</v>
      </c>
      <c r="D85" t="s">
        <v>19</v>
      </c>
      <c r="E85" s="1">
        <v>1</v>
      </c>
      <c r="F85" s="1">
        <v>0</v>
      </c>
      <c r="G85" s="1">
        <v>0</v>
      </c>
      <c r="H85">
        <v>0</v>
      </c>
      <c r="I85">
        <v>0</v>
      </c>
      <c r="J85">
        <v>0</v>
      </c>
      <c r="K85">
        <v>0</v>
      </c>
      <c r="S85" t="s">
        <v>4</v>
      </c>
    </row>
    <row r="86" spans="1:19" x14ac:dyDescent="0.25">
      <c r="A86" s="2">
        <v>39948</v>
      </c>
      <c r="B86" s="3">
        <v>0.78611111111111109</v>
      </c>
      <c r="C86" s="1">
        <v>104</v>
      </c>
      <c r="D86" t="s">
        <v>19</v>
      </c>
      <c r="E86" s="1">
        <v>0</v>
      </c>
      <c r="F86" s="1">
        <v>1</v>
      </c>
      <c r="G86" s="1">
        <v>0</v>
      </c>
      <c r="H86">
        <v>0</v>
      </c>
      <c r="I86">
        <v>0</v>
      </c>
      <c r="J86">
        <v>0</v>
      </c>
      <c r="K86">
        <v>0</v>
      </c>
      <c r="S86" t="s">
        <v>20</v>
      </c>
    </row>
    <row r="87" spans="1:19" x14ac:dyDescent="0.25">
      <c r="A87" s="2">
        <v>39949</v>
      </c>
      <c r="B87" s="3">
        <v>0.17569444444444446</v>
      </c>
      <c r="C87" s="1">
        <v>132</v>
      </c>
      <c r="D87" t="s">
        <v>19</v>
      </c>
      <c r="E87" s="1">
        <v>1</v>
      </c>
      <c r="F87" s="1">
        <v>0</v>
      </c>
      <c r="G87" s="1">
        <v>0</v>
      </c>
      <c r="H87">
        <v>0</v>
      </c>
      <c r="I87">
        <v>0</v>
      </c>
      <c r="J87">
        <v>0</v>
      </c>
      <c r="K87">
        <v>0</v>
      </c>
      <c r="S87" t="s">
        <v>4</v>
      </c>
    </row>
    <row r="88" spans="1:19" x14ac:dyDescent="0.25">
      <c r="A88" s="2">
        <v>39949</v>
      </c>
      <c r="B88" s="3">
        <v>0.51597222222222217</v>
      </c>
      <c r="C88" s="1">
        <v>134</v>
      </c>
      <c r="D88" t="s">
        <v>19</v>
      </c>
      <c r="E88" s="1">
        <v>0</v>
      </c>
      <c r="F88" s="1">
        <v>0</v>
      </c>
      <c r="G88" s="1">
        <v>1</v>
      </c>
      <c r="H88">
        <v>0</v>
      </c>
      <c r="I88">
        <v>0</v>
      </c>
      <c r="J88">
        <v>0</v>
      </c>
      <c r="K88">
        <v>0</v>
      </c>
      <c r="S88" t="s">
        <v>6</v>
      </c>
    </row>
    <row r="89" spans="1:19" x14ac:dyDescent="0.25">
      <c r="A89" s="2">
        <v>39949</v>
      </c>
      <c r="B89" s="3">
        <v>0.57986111111111105</v>
      </c>
      <c r="C89" s="1">
        <v>85</v>
      </c>
      <c r="D89" t="s">
        <v>19</v>
      </c>
      <c r="E89" s="1">
        <v>0</v>
      </c>
      <c r="F89" s="1">
        <v>0</v>
      </c>
      <c r="G89" s="1">
        <v>1</v>
      </c>
      <c r="H89">
        <v>0</v>
      </c>
      <c r="I89">
        <v>0</v>
      </c>
      <c r="J89">
        <v>0</v>
      </c>
      <c r="K89">
        <v>0</v>
      </c>
      <c r="S89" t="s">
        <v>6</v>
      </c>
    </row>
    <row r="90" spans="1:19" x14ac:dyDescent="0.25">
      <c r="A90" s="2">
        <v>39950</v>
      </c>
      <c r="B90" s="3">
        <v>0.26180555555555557</v>
      </c>
      <c r="C90" s="1">
        <v>120</v>
      </c>
      <c r="D90" t="s">
        <v>19</v>
      </c>
      <c r="E90" s="1">
        <v>1</v>
      </c>
      <c r="F90" s="1">
        <v>0</v>
      </c>
      <c r="G90" s="1">
        <v>0</v>
      </c>
      <c r="H90">
        <v>0</v>
      </c>
      <c r="I90">
        <v>0</v>
      </c>
      <c r="J90">
        <v>0</v>
      </c>
      <c r="K90">
        <v>0</v>
      </c>
      <c r="S90" t="s">
        <v>4</v>
      </c>
    </row>
    <row r="91" spans="1:19" x14ac:dyDescent="0.25">
      <c r="A91" s="2">
        <v>39950</v>
      </c>
      <c r="B91" s="3">
        <v>0.69861111111111107</v>
      </c>
      <c r="C91" s="1">
        <v>92</v>
      </c>
      <c r="D91" t="s">
        <v>19</v>
      </c>
      <c r="E91" s="1">
        <v>0</v>
      </c>
      <c r="F91" s="1">
        <v>1</v>
      </c>
      <c r="G91" s="1">
        <v>0</v>
      </c>
      <c r="H91">
        <v>0</v>
      </c>
      <c r="I91">
        <v>0</v>
      </c>
      <c r="J91">
        <v>0</v>
      </c>
      <c r="K91">
        <v>0</v>
      </c>
      <c r="S91" t="s">
        <v>20</v>
      </c>
    </row>
    <row r="92" spans="1:19" x14ac:dyDescent="0.25">
      <c r="A92" s="2">
        <v>39951</v>
      </c>
      <c r="B92" s="3">
        <v>0.25833333333333336</v>
      </c>
      <c r="C92" s="1">
        <v>116</v>
      </c>
      <c r="D92" t="s">
        <v>19</v>
      </c>
      <c r="E92" s="1">
        <v>1</v>
      </c>
      <c r="F92" s="1">
        <v>0</v>
      </c>
      <c r="G92" s="1">
        <v>0</v>
      </c>
      <c r="H92">
        <v>0</v>
      </c>
      <c r="I92">
        <v>0</v>
      </c>
      <c r="J92">
        <v>0</v>
      </c>
      <c r="K92">
        <v>0</v>
      </c>
      <c r="S92" t="s">
        <v>4</v>
      </c>
    </row>
    <row r="93" spans="1:19" x14ac:dyDescent="0.25">
      <c r="A93" s="2">
        <v>39952</v>
      </c>
      <c r="B93" s="3">
        <v>0.72361111111111109</v>
      </c>
      <c r="C93" s="1">
        <v>108</v>
      </c>
      <c r="D93" t="s">
        <v>19</v>
      </c>
      <c r="E93" s="1">
        <v>0</v>
      </c>
      <c r="F93" s="1">
        <v>0</v>
      </c>
      <c r="G93" s="1">
        <v>1</v>
      </c>
      <c r="H93">
        <v>0</v>
      </c>
      <c r="I93">
        <v>0</v>
      </c>
      <c r="J93">
        <v>0</v>
      </c>
      <c r="K93">
        <v>0</v>
      </c>
      <c r="S93" t="s">
        <v>6</v>
      </c>
    </row>
    <row r="94" spans="1:19" x14ac:dyDescent="0.25">
      <c r="A94" s="2">
        <v>39953</v>
      </c>
      <c r="B94" s="3">
        <v>0.84236111111111101</v>
      </c>
      <c r="C94" s="1">
        <v>102</v>
      </c>
      <c r="D94" t="s">
        <v>19</v>
      </c>
      <c r="E94" s="1">
        <v>0</v>
      </c>
      <c r="F94" s="1">
        <v>0</v>
      </c>
      <c r="G94" s="1">
        <v>1</v>
      </c>
      <c r="H94">
        <v>0</v>
      </c>
      <c r="I94">
        <v>0</v>
      </c>
      <c r="J94">
        <v>0</v>
      </c>
      <c r="K94">
        <v>0</v>
      </c>
      <c r="S94" t="s">
        <v>6</v>
      </c>
    </row>
    <row r="95" spans="1:19" x14ac:dyDescent="0.25">
      <c r="A95" s="2">
        <v>39954</v>
      </c>
      <c r="B95" s="3">
        <v>0.51111111111111118</v>
      </c>
      <c r="C95" s="1">
        <v>215</v>
      </c>
      <c r="D95" t="s">
        <v>19</v>
      </c>
      <c r="E95" s="1">
        <v>1</v>
      </c>
      <c r="F95" s="1">
        <v>0</v>
      </c>
      <c r="G95" s="1">
        <v>0</v>
      </c>
      <c r="H95">
        <v>0</v>
      </c>
      <c r="I95">
        <v>0</v>
      </c>
      <c r="J95">
        <v>0</v>
      </c>
      <c r="K95">
        <v>0</v>
      </c>
      <c r="S95" t="s">
        <v>4</v>
      </c>
    </row>
    <row r="96" spans="1:19" x14ac:dyDescent="0.25">
      <c r="A96" s="2">
        <v>39955</v>
      </c>
      <c r="B96" s="3">
        <v>0.1013888888888889</v>
      </c>
      <c r="C96" s="1">
        <v>136</v>
      </c>
      <c r="D96" t="s">
        <v>19</v>
      </c>
      <c r="E96" s="1">
        <v>1</v>
      </c>
      <c r="F96" s="1">
        <v>0</v>
      </c>
      <c r="G96" s="1">
        <v>0</v>
      </c>
      <c r="H96">
        <v>0</v>
      </c>
      <c r="I96">
        <v>0</v>
      </c>
      <c r="J96">
        <v>0</v>
      </c>
      <c r="K96">
        <v>0</v>
      </c>
      <c r="S96" t="s">
        <v>4</v>
      </c>
    </row>
    <row r="97" spans="1:19" x14ac:dyDescent="0.25">
      <c r="A97" s="2">
        <v>39955</v>
      </c>
      <c r="B97" s="3">
        <v>0.33680555555555558</v>
      </c>
      <c r="C97" s="1">
        <v>107</v>
      </c>
      <c r="D97" t="s">
        <v>19</v>
      </c>
      <c r="E97" s="1">
        <v>0</v>
      </c>
      <c r="F97" s="1">
        <v>0</v>
      </c>
      <c r="G97" s="1">
        <v>1</v>
      </c>
      <c r="H97">
        <v>0</v>
      </c>
      <c r="I97">
        <v>0</v>
      </c>
      <c r="J97">
        <v>0</v>
      </c>
      <c r="K97">
        <v>0</v>
      </c>
      <c r="S97" t="s">
        <v>6</v>
      </c>
    </row>
    <row r="98" spans="1:19" x14ac:dyDescent="0.25">
      <c r="A98" s="2">
        <v>39955</v>
      </c>
      <c r="B98" s="3">
        <v>0.71250000000000002</v>
      </c>
      <c r="C98" s="1">
        <v>79</v>
      </c>
      <c r="D98" t="s">
        <v>19</v>
      </c>
      <c r="E98" s="1">
        <v>0</v>
      </c>
      <c r="F98" s="1">
        <v>0</v>
      </c>
      <c r="G98" s="1">
        <v>1</v>
      </c>
      <c r="H98">
        <v>0</v>
      </c>
      <c r="I98">
        <v>0</v>
      </c>
      <c r="J98">
        <v>0</v>
      </c>
      <c r="K98">
        <v>0</v>
      </c>
      <c r="S98" t="s">
        <v>6</v>
      </c>
    </row>
    <row r="99" spans="1:19" x14ac:dyDescent="0.25">
      <c r="A99" s="2">
        <v>39956</v>
      </c>
      <c r="B99" s="3">
        <v>0.15694444444444444</v>
      </c>
      <c r="C99" s="1">
        <v>109</v>
      </c>
      <c r="D99" t="s">
        <v>19</v>
      </c>
      <c r="E99" s="1">
        <v>1</v>
      </c>
      <c r="F99" s="1">
        <v>0</v>
      </c>
      <c r="G99" s="1">
        <v>0</v>
      </c>
      <c r="H99">
        <v>0</v>
      </c>
      <c r="I99">
        <v>0</v>
      </c>
      <c r="J99">
        <v>0</v>
      </c>
      <c r="K99">
        <v>0</v>
      </c>
      <c r="S99" t="s">
        <v>4</v>
      </c>
    </row>
    <row r="100" spans="1:19" x14ac:dyDescent="0.25">
      <c r="A100" s="2">
        <v>39956</v>
      </c>
      <c r="B100" s="3">
        <v>0.30069444444444443</v>
      </c>
      <c r="C100" s="1">
        <v>116</v>
      </c>
      <c r="D100" t="s">
        <v>19</v>
      </c>
      <c r="E100" s="1">
        <v>0</v>
      </c>
      <c r="F100" s="1">
        <v>1</v>
      </c>
      <c r="G100" s="1">
        <v>0</v>
      </c>
      <c r="H100">
        <v>0</v>
      </c>
      <c r="I100">
        <v>0</v>
      </c>
      <c r="J100">
        <v>0</v>
      </c>
      <c r="K100">
        <v>0</v>
      </c>
      <c r="S100" t="s">
        <v>20</v>
      </c>
    </row>
    <row r="101" spans="1:19" x14ac:dyDescent="0.25">
      <c r="A101" s="2">
        <v>39956</v>
      </c>
      <c r="B101" s="3">
        <v>0.77638888888888891</v>
      </c>
      <c r="C101" s="1">
        <v>108</v>
      </c>
      <c r="D101" t="s">
        <v>19</v>
      </c>
      <c r="E101" s="1">
        <v>0</v>
      </c>
      <c r="F101" s="1">
        <v>1</v>
      </c>
      <c r="G101" s="1">
        <v>0</v>
      </c>
      <c r="H101">
        <v>0</v>
      </c>
      <c r="I101">
        <v>0</v>
      </c>
      <c r="J101">
        <v>0</v>
      </c>
      <c r="K101">
        <v>0</v>
      </c>
      <c r="S101" t="s">
        <v>20</v>
      </c>
    </row>
    <row r="102" spans="1:19" x14ac:dyDescent="0.25">
      <c r="A102" s="2">
        <v>39957</v>
      </c>
      <c r="B102" s="3">
        <v>0.25208333333333333</v>
      </c>
      <c r="C102" s="1">
        <v>112</v>
      </c>
      <c r="D102" t="s">
        <v>19</v>
      </c>
      <c r="E102" s="1">
        <v>1</v>
      </c>
      <c r="F102" s="1">
        <v>0</v>
      </c>
      <c r="G102" s="1">
        <v>0</v>
      </c>
      <c r="H102">
        <v>0</v>
      </c>
      <c r="I102">
        <v>0</v>
      </c>
      <c r="J102">
        <v>0</v>
      </c>
      <c r="K102">
        <v>0</v>
      </c>
      <c r="S102" t="s">
        <v>4</v>
      </c>
    </row>
    <row r="103" spans="1:19" x14ac:dyDescent="0.25">
      <c r="A103" s="2">
        <v>39957</v>
      </c>
      <c r="B103" s="3">
        <v>0.7055555555555556</v>
      </c>
      <c r="C103" s="1">
        <v>97</v>
      </c>
      <c r="D103" t="s">
        <v>19</v>
      </c>
      <c r="E103" s="1">
        <v>0</v>
      </c>
      <c r="F103" s="1">
        <v>1</v>
      </c>
      <c r="G103" s="1">
        <v>0</v>
      </c>
      <c r="H103">
        <v>0</v>
      </c>
      <c r="I103">
        <v>0</v>
      </c>
      <c r="J103">
        <v>0</v>
      </c>
      <c r="K103">
        <v>0</v>
      </c>
      <c r="S103" t="s">
        <v>20</v>
      </c>
    </row>
    <row r="104" spans="1:19" x14ac:dyDescent="0.25">
      <c r="A104" s="2">
        <v>39958</v>
      </c>
      <c r="B104" s="3">
        <v>0.21527777777777779</v>
      </c>
      <c r="C104" s="1">
        <v>122</v>
      </c>
      <c r="D104" t="s">
        <v>19</v>
      </c>
      <c r="E104" s="1">
        <v>1</v>
      </c>
      <c r="F104" s="1">
        <v>0</v>
      </c>
      <c r="G104" s="1">
        <v>0</v>
      </c>
      <c r="H104">
        <v>0</v>
      </c>
      <c r="I104">
        <v>0</v>
      </c>
      <c r="J104">
        <v>0</v>
      </c>
      <c r="K104">
        <v>0</v>
      </c>
      <c r="S104" t="s">
        <v>4</v>
      </c>
    </row>
    <row r="105" spans="1:19" x14ac:dyDescent="0.25">
      <c r="A105" s="2">
        <v>39958</v>
      </c>
      <c r="B105" s="3">
        <v>0.53402777777777777</v>
      </c>
      <c r="C105" s="1">
        <v>91</v>
      </c>
      <c r="D105" t="s">
        <v>19</v>
      </c>
      <c r="E105" s="1">
        <v>0</v>
      </c>
      <c r="F105" s="1">
        <v>0</v>
      </c>
      <c r="G105" s="1">
        <v>1</v>
      </c>
      <c r="H105">
        <v>0</v>
      </c>
      <c r="I105">
        <v>0</v>
      </c>
      <c r="J105">
        <v>0</v>
      </c>
      <c r="K105">
        <v>0</v>
      </c>
      <c r="S105" t="s">
        <v>6</v>
      </c>
    </row>
    <row r="106" spans="1:19" x14ac:dyDescent="0.25">
      <c r="A106" s="2">
        <v>39958</v>
      </c>
      <c r="B106" s="3">
        <v>0.86458333333333337</v>
      </c>
      <c r="C106" s="1">
        <v>65</v>
      </c>
      <c r="D106" t="s">
        <v>19</v>
      </c>
      <c r="E106" s="1">
        <v>0</v>
      </c>
      <c r="F106" s="1">
        <v>0</v>
      </c>
      <c r="G106" s="1">
        <v>1</v>
      </c>
      <c r="H106">
        <v>0</v>
      </c>
      <c r="I106">
        <v>0</v>
      </c>
      <c r="J106">
        <v>0</v>
      </c>
      <c r="K106">
        <v>0</v>
      </c>
      <c r="S106" t="s">
        <v>6</v>
      </c>
    </row>
    <row r="107" spans="1:19" x14ac:dyDescent="0.25">
      <c r="A107" s="2">
        <v>39959</v>
      </c>
      <c r="B107" s="3">
        <v>0.28819444444444448</v>
      </c>
      <c r="C107" s="1">
        <v>168</v>
      </c>
      <c r="D107" t="s">
        <v>19</v>
      </c>
      <c r="E107" s="1">
        <v>1</v>
      </c>
      <c r="F107" s="1">
        <v>0</v>
      </c>
      <c r="G107" s="1">
        <v>0</v>
      </c>
      <c r="H107">
        <v>0</v>
      </c>
      <c r="I107">
        <v>0</v>
      </c>
      <c r="J107">
        <v>0</v>
      </c>
      <c r="K107">
        <v>0</v>
      </c>
      <c r="S107" t="s">
        <v>4</v>
      </c>
    </row>
    <row r="108" spans="1:19" x14ac:dyDescent="0.25">
      <c r="A108" s="2">
        <v>39959</v>
      </c>
      <c r="B108" s="3">
        <v>0.35000000000000003</v>
      </c>
      <c r="C108" s="1">
        <v>166</v>
      </c>
      <c r="D108" t="s">
        <v>19</v>
      </c>
      <c r="E108" s="1">
        <v>0</v>
      </c>
      <c r="F108" s="1">
        <v>0</v>
      </c>
      <c r="G108" s="1">
        <v>1</v>
      </c>
      <c r="H108">
        <v>0</v>
      </c>
      <c r="I108">
        <v>0</v>
      </c>
      <c r="J108">
        <v>0</v>
      </c>
      <c r="K108">
        <v>0</v>
      </c>
      <c r="S108" t="s">
        <v>6</v>
      </c>
    </row>
    <row r="109" spans="1:19" x14ac:dyDescent="0.25">
      <c r="A109" s="2">
        <v>39959</v>
      </c>
      <c r="B109" s="3">
        <v>0.61041666666666672</v>
      </c>
      <c r="C109" s="1">
        <v>98</v>
      </c>
      <c r="D109" t="s">
        <v>19</v>
      </c>
      <c r="E109" s="1">
        <v>0</v>
      </c>
      <c r="F109" s="1">
        <v>1</v>
      </c>
      <c r="G109" s="1">
        <v>0</v>
      </c>
      <c r="H109">
        <v>0</v>
      </c>
      <c r="I109">
        <v>0</v>
      </c>
      <c r="J109">
        <v>0</v>
      </c>
      <c r="K109">
        <v>0</v>
      </c>
      <c r="S109" t="s">
        <v>20</v>
      </c>
    </row>
    <row r="110" spans="1:19" x14ac:dyDescent="0.25">
      <c r="A110" s="2">
        <v>39960</v>
      </c>
      <c r="B110" s="3">
        <v>0.16180555555555556</v>
      </c>
      <c r="C110" s="1">
        <v>98</v>
      </c>
      <c r="D110" t="s">
        <v>19</v>
      </c>
      <c r="E110" s="1">
        <v>1</v>
      </c>
      <c r="F110" s="1">
        <v>0</v>
      </c>
      <c r="G110" s="1">
        <v>0</v>
      </c>
      <c r="H110">
        <v>0</v>
      </c>
      <c r="I110">
        <v>0</v>
      </c>
      <c r="J110">
        <v>0</v>
      </c>
      <c r="K110">
        <v>0</v>
      </c>
      <c r="S110" t="s">
        <v>4</v>
      </c>
    </row>
    <row r="111" spans="1:19" x14ac:dyDescent="0.25">
      <c r="A111" s="2">
        <v>39960</v>
      </c>
      <c r="B111" s="3">
        <v>0.45277777777777778</v>
      </c>
      <c r="C111" s="1">
        <v>108</v>
      </c>
      <c r="D111" t="s">
        <v>19</v>
      </c>
      <c r="E111" s="1">
        <v>0</v>
      </c>
      <c r="F111" s="1">
        <v>1</v>
      </c>
      <c r="G111" s="1">
        <v>0</v>
      </c>
      <c r="H111">
        <v>0</v>
      </c>
      <c r="I111">
        <v>0</v>
      </c>
      <c r="J111">
        <v>0</v>
      </c>
      <c r="K111">
        <v>0</v>
      </c>
      <c r="S111" t="s">
        <v>20</v>
      </c>
    </row>
    <row r="112" spans="1:19" x14ac:dyDescent="0.25">
      <c r="A112" s="2">
        <v>39960</v>
      </c>
      <c r="B112" s="3">
        <v>0.5805555555555556</v>
      </c>
      <c r="C112" s="1">
        <v>114</v>
      </c>
      <c r="D112" t="s">
        <v>19</v>
      </c>
      <c r="E112" s="1">
        <v>0</v>
      </c>
      <c r="F112" s="1">
        <v>0</v>
      </c>
      <c r="G112" s="1">
        <v>1</v>
      </c>
      <c r="H112">
        <v>0</v>
      </c>
      <c r="I112">
        <v>0</v>
      </c>
      <c r="J112">
        <v>0</v>
      </c>
      <c r="K112">
        <v>0</v>
      </c>
      <c r="S112" t="s">
        <v>6</v>
      </c>
    </row>
    <row r="113" spans="1:19" x14ac:dyDescent="0.25">
      <c r="A113" s="2">
        <v>39960</v>
      </c>
      <c r="B113" s="3">
        <v>0.73333333333333339</v>
      </c>
      <c r="C113" s="1">
        <v>105</v>
      </c>
      <c r="D113" t="s">
        <v>19</v>
      </c>
      <c r="E113" s="1">
        <v>0</v>
      </c>
      <c r="F113" s="1">
        <v>0</v>
      </c>
      <c r="G113" s="1">
        <v>1</v>
      </c>
      <c r="H113">
        <v>0</v>
      </c>
      <c r="I113">
        <v>0</v>
      </c>
      <c r="J113">
        <v>0</v>
      </c>
      <c r="K113">
        <v>0</v>
      </c>
      <c r="S113" t="s">
        <v>6</v>
      </c>
    </row>
    <row r="114" spans="1:19" x14ac:dyDescent="0.25">
      <c r="A114" s="2">
        <v>39960</v>
      </c>
      <c r="B114" s="3">
        <v>0.85833333333333339</v>
      </c>
      <c r="C114" s="1">
        <v>102</v>
      </c>
      <c r="D114" t="s">
        <v>19</v>
      </c>
      <c r="E114" s="1">
        <v>0</v>
      </c>
      <c r="F114" s="1">
        <v>0</v>
      </c>
      <c r="G114" s="1">
        <v>1</v>
      </c>
      <c r="H114">
        <v>0</v>
      </c>
      <c r="I114">
        <v>0</v>
      </c>
      <c r="J114">
        <v>0</v>
      </c>
      <c r="K114">
        <v>0</v>
      </c>
      <c r="S114" t="s">
        <v>6</v>
      </c>
    </row>
    <row r="115" spans="1:19" x14ac:dyDescent="0.25">
      <c r="A115" s="2">
        <v>39961</v>
      </c>
      <c r="B115" s="3">
        <v>0.12083333333333333</v>
      </c>
      <c r="C115" s="1">
        <v>145</v>
      </c>
      <c r="D115" t="s">
        <v>19</v>
      </c>
      <c r="E115" s="1">
        <v>1</v>
      </c>
      <c r="F115" s="1">
        <v>0</v>
      </c>
      <c r="G115" s="1">
        <v>0</v>
      </c>
      <c r="H115">
        <v>0</v>
      </c>
      <c r="I115">
        <v>0</v>
      </c>
      <c r="J115">
        <v>0</v>
      </c>
      <c r="K115">
        <v>0</v>
      </c>
      <c r="S115" t="s">
        <v>4</v>
      </c>
    </row>
    <row r="116" spans="1:19" x14ac:dyDescent="0.25">
      <c r="A116" s="2">
        <v>39961</v>
      </c>
      <c r="B116" s="3">
        <v>0.17777777777777778</v>
      </c>
      <c r="C116" s="1">
        <v>80</v>
      </c>
      <c r="D116" t="s">
        <v>19</v>
      </c>
      <c r="E116" s="1">
        <v>0</v>
      </c>
      <c r="F116" s="1">
        <v>0</v>
      </c>
      <c r="G116" s="1">
        <v>1</v>
      </c>
      <c r="H116">
        <v>0</v>
      </c>
      <c r="I116">
        <v>0</v>
      </c>
      <c r="J116">
        <v>0</v>
      </c>
      <c r="K116">
        <v>0</v>
      </c>
      <c r="S116" t="s">
        <v>6</v>
      </c>
    </row>
    <row r="117" spans="1:19" x14ac:dyDescent="0.25">
      <c r="A117" s="2">
        <v>39961</v>
      </c>
      <c r="B117" s="3">
        <v>0.30208333333333331</v>
      </c>
      <c r="C117" s="1">
        <v>125</v>
      </c>
      <c r="D117" t="s">
        <v>19</v>
      </c>
      <c r="E117" s="1">
        <v>0</v>
      </c>
      <c r="F117" s="1">
        <v>1</v>
      </c>
      <c r="G117" s="1">
        <v>0</v>
      </c>
      <c r="H117">
        <v>0</v>
      </c>
      <c r="I117">
        <v>0</v>
      </c>
      <c r="J117">
        <v>0</v>
      </c>
      <c r="K117">
        <v>0</v>
      </c>
      <c r="S117" t="s">
        <v>20</v>
      </c>
    </row>
    <row r="118" spans="1:19" x14ac:dyDescent="0.25">
      <c r="A118" s="2">
        <v>39961</v>
      </c>
      <c r="B118" s="3">
        <v>0.59375</v>
      </c>
      <c r="C118" s="1">
        <v>102</v>
      </c>
      <c r="D118" t="s">
        <v>19</v>
      </c>
      <c r="E118" s="1">
        <v>0</v>
      </c>
      <c r="F118" s="1">
        <v>0</v>
      </c>
      <c r="G118" s="1">
        <v>1</v>
      </c>
      <c r="H118">
        <v>0</v>
      </c>
      <c r="I118">
        <v>0</v>
      </c>
      <c r="J118">
        <v>0</v>
      </c>
      <c r="K118">
        <v>0</v>
      </c>
      <c r="S118" t="s">
        <v>6</v>
      </c>
    </row>
    <row r="119" spans="1:19" x14ac:dyDescent="0.25">
      <c r="A119" s="2">
        <v>39962</v>
      </c>
      <c r="B119" s="3">
        <v>0.13333333333333333</v>
      </c>
      <c r="C119" s="1">
        <v>126</v>
      </c>
      <c r="D119" t="s">
        <v>19</v>
      </c>
      <c r="E119" s="1">
        <v>1</v>
      </c>
      <c r="F119" s="1">
        <v>0</v>
      </c>
      <c r="G119" s="1">
        <v>0</v>
      </c>
      <c r="H119">
        <v>0</v>
      </c>
      <c r="I119">
        <v>0</v>
      </c>
      <c r="J119">
        <v>0</v>
      </c>
      <c r="K119">
        <v>0</v>
      </c>
      <c r="S119" t="s">
        <v>4</v>
      </c>
    </row>
    <row r="120" spans="1:19" x14ac:dyDescent="0.25">
      <c r="A120" s="2">
        <v>39962</v>
      </c>
      <c r="B120" s="3">
        <v>0.30624999999999997</v>
      </c>
      <c r="C120" s="1">
        <v>122</v>
      </c>
      <c r="D120" t="s">
        <v>19</v>
      </c>
      <c r="E120" s="1">
        <v>0</v>
      </c>
      <c r="F120" s="1">
        <v>1</v>
      </c>
      <c r="G120" s="1">
        <v>0</v>
      </c>
      <c r="H120">
        <v>0</v>
      </c>
      <c r="I120">
        <v>0</v>
      </c>
      <c r="J120">
        <v>0</v>
      </c>
      <c r="K120">
        <v>0</v>
      </c>
      <c r="S120" t="s">
        <v>20</v>
      </c>
    </row>
    <row r="121" spans="1:19" x14ac:dyDescent="0.25">
      <c r="A121" s="2">
        <v>39962</v>
      </c>
      <c r="B121" s="3">
        <v>0.53402777777777777</v>
      </c>
      <c r="C121" s="1">
        <v>158</v>
      </c>
      <c r="D121" t="s">
        <v>19</v>
      </c>
      <c r="E121" s="1">
        <v>0</v>
      </c>
      <c r="F121" s="1">
        <v>0</v>
      </c>
      <c r="G121" s="1">
        <v>1</v>
      </c>
      <c r="H121">
        <v>0</v>
      </c>
      <c r="I121">
        <v>0</v>
      </c>
      <c r="J121">
        <v>0</v>
      </c>
      <c r="K121">
        <v>0</v>
      </c>
      <c r="S121" t="s">
        <v>6</v>
      </c>
    </row>
    <row r="122" spans="1:19" x14ac:dyDescent="0.25">
      <c r="A122" s="2">
        <v>39962</v>
      </c>
      <c r="B122" s="3">
        <v>0.84375</v>
      </c>
      <c r="C122" s="1">
        <v>117</v>
      </c>
      <c r="D122" t="s">
        <v>19</v>
      </c>
      <c r="E122" s="1">
        <v>0</v>
      </c>
      <c r="F122" s="1">
        <v>0</v>
      </c>
      <c r="G122" s="1">
        <v>1</v>
      </c>
      <c r="H122">
        <v>0</v>
      </c>
      <c r="I122">
        <v>0</v>
      </c>
      <c r="J122">
        <v>0</v>
      </c>
      <c r="K122">
        <v>0</v>
      </c>
      <c r="S122" t="s">
        <v>6</v>
      </c>
    </row>
    <row r="123" spans="1:19" x14ac:dyDescent="0.25">
      <c r="A123" s="2">
        <v>39963</v>
      </c>
      <c r="B123" s="3">
        <v>0.22708333333333333</v>
      </c>
      <c r="C123" s="1">
        <v>125</v>
      </c>
      <c r="D123" t="s">
        <v>19</v>
      </c>
      <c r="E123" s="1">
        <v>1</v>
      </c>
      <c r="F123" s="1">
        <v>0</v>
      </c>
      <c r="G123" s="1">
        <v>0</v>
      </c>
      <c r="H123">
        <v>0</v>
      </c>
      <c r="I123">
        <v>0</v>
      </c>
      <c r="J123">
        <v>0</v>
      </c>
      <c r="K123">
        <v>0</v>
      </c>
      <c r="S123" t="s">
        <v>4</v>
      </c>
    </row>
    <row r="124" spans="1:19" x14ac:dyDescent="0.25">
      <c r="A124" s="2">
        <v>39963</v>
      </c>
      <c r="B124" s="3">
        <v>0.61249999999999993</v>
      </c>
      <c r="C124" s="1">
        <v>173</v>
      </c>
      <c r="D124" t="s">
        <v>19</v>
      </c>
      <c r="E124" s="1">
        <v>0</v>
      </c>
      <c r="F124" s="1">
        <v>0</v>
      </c>
      <c r="G124" s="1">
        <v>1</v>
      </c>
      <c r="H124">
        <v>0</v>
      </c>
      <c r="I124">
        <v>0</v>
      </c>
      <c r="J124">
        <v>0</v>
      </c>
      <c r="K124">
        <v>0</v>
      </c>
      <c r="S124" t="s">
        <v>6</v>
      </c>
    </row>
    <row r="125" spans="1:19" x14ac:dyDescent="0.25">
      <c r="A125" s="2">
        <v>39963</v>
      </c>
      <c r="B125" s="3">
        <v>0.83611111111111114</v>
      </c>
      <c r="C125" s="1">
        <v>102</v>
      </c>
      <c r="D125" t="s">
        <v>19</v>
      </c>
      <c r="E125" s="1">
        <v>0</v>
      </c>
      <c r="F125" s="1">
        <v>0</v>
      </c>
      <c r="G125" s="1">
        <v>1</v>
      </c>
      <c r="H125">
        <v>0</v>
      </c>
      <c r="I125">
        <v>0</v>
      </c>
      <c r="J125">
        <v>0</v>
      </c>
      <c r="K125">
        <v>0</v>
      </c>
      <c r="S125" t="s">
        <v>6</v>
      </c>
    </row>
    <row r="126" spans="1:19" x14ac:dyDescent="0.25">
      <c r="A126" s="2">
        <v>39964</v>
      </c>
      <c r="B126" s="3">
        <v>0.28125</v>
      </c>
      <c r="C126" s="1">
        <v>132</v>
      </c>
      <c r="D126" t="s">
        <v>19</v>
      </c>
      <c r="E126" s="1">
        <v>1</v>
      </c>
      <c r="F126" s="1">
        <v>0</v>
      </c>
      <c r="G126" s="1">
        <v>0</v>
      </c>
      <c r="H126">
        <v>0</v>
      </c>
      <c r="I126">
        <v>0</v>
      </c>
      <c r="J126">
        <v>0</v>
      </c>
      <c r="K126">
        <v>0</v>
      </c>
      <c r="S126" t="s">
        <v>4</v>
      </c>
    </row>
    <row r="127" spans="1:19" x14ac:dyDescent="0.25">
      <c r="A127" s="2">
        <v>39964</v>
      </c>
      <c r="B127" s="3">
        <v>0.6069444444444444</v>
      </c>
      <c r="C127" s="1">
        <v>121</v>
      </c>
      <c r="D127" t="s">
        <v>19</v>
      </c>
      <c r="E127" s="1">
        <v>0</v>
      </c>
      <c r="F127" s="1">
        <v>0</v>
      </c>
      <c r="G127" s="1">
        <v>1</v>
      </c>
      <c r="H127">
        <v>0</v>
      </c>
      <c r="I127">
        <v>0</v>
      </c>
      <c r="J127">
        <v>0</v>
      </c>
      <c r="K127">
        <v>0</v>
      </c>
      <c r="S127" t="s">
        <v>6</v>
      </c>
    </row>
    <row r="128" spans="1:19" x14ac:dyDescent="0.25">
      <c r="A128" s="2">
        <v>39965</v>
      </c>
      <c r="B128" s="3">
        <v>0.26250000000000001</v>
      </c>
      <c r="C128" s="1">
        <v>128</v>
      </c>
      <c r="D128" t="s">
        <v>19</v>
      </c>
      <c r="E128" s="1">
        <v>1</v>
      </c>
      <c r="F128" s="1">
        <v>0</v>
      </c>
      <c r="G128" s="1">
        <v>0</v>
      </c>
      <c r="H128">
        <v>0</v>
      </c>
      <c r="I128">
        <v>0</v>
      </c>
      <c r="J128">
        <v>0</v>
      </c>
      <c r="K128">
        <v>0</v>
      </c>
      <c r="S128" t="s">
        <v>4</v>
      </c>
    </row>
    <row r="129" spans="1:19" x14ac:dyDescent="0.25">
      <c r="A129" s="2">
        <v>39965</v>
      </c>
      <c r="B129" s="3">
        <v>0.49444444444444446</v>
      </c>
      <c r="C129" s="1">
        <v>108</v>
      </c>
      <c r="D129" t="s">
        <v>19</v>
      </c>
      <c r="E129" s="1">
        <v>0</v>
      </c>
      <c r="F129" s="1">
        <v>1</v>
      </c>
      <c r="G129" s="1">
        <v>0</v>
      </c>
      <c r="H129">
        <v>0</v>
      </c>
      <c r="I129">
        <v>0</v>
      </c>
      <c r="J129">
        <v>0</v>
      </c>
      <c r="K129">
        <v>0</v>
      </c>
      <c r="S129" t="s">
        <v>20</v>
      </c>
    </row>
    <row r="130" spans="1:19" x14ac:dyDescent="0.25">
      <c r="A130" s="2">
        <v>39966</v>
      </c>
      <c r="B130" s="3">
        <v>0.24513888888888888</v>
      </c>
      <c r="C130" s="1">
        <v>113</v>
      </c>
      <c r="D130" t="s">
        <v>19</v>
      </c>
      <c r="E130" s="1">
        <v>1</v>
      </c>
      <c r="F130" s="1">
        <v>0</v>
      </c>
      <c r="G130" s="1">
        <v>0</v>
      </c>
      <c r="H130">
        <v>0</v>
      </c>
      <c r="I130">
        <v>0</v>
      </c>
      <c r="J130">
        <v>0</v>
      </c>
      <c r="K130">
        <v>0</v>
      </c>
      <c r="S130" t="s">
        <v>4</v>
      </c>
    </row>
    <row r="131" spans="1:19" x14ac:dyDescent="0.25">
      <c r="A131" s="2">
        <v>39966</v>
      </c>
      <c r="B131" s="3">
        <v>0.44027777777777777</v>
      </c>
      <c r="C131" s="1">
        <v>130</v>
      </c>
      <c r="D131" t="s">
        <v>19</v>
      </c>
      <c r="E131" s="1">
        <v>0</v>
      </c>
      <c r="F131" s="1">
        <v>1</v>
      </c>
      <c r="G131" s="1">
        <v>0</v>
      </c>
      <c r="H131">
        <v>0</v>
      </c>
      <c r="I131">
        <v>0</v>
      </c>
      <c r="J131">
        <v>0</v>
      </c>
      <c r="K131">
        <v>0</v>
      </c>
      <c r="S131" t="s">
        <v>20</v>
      </c>
    </row>
    <row r="132" spans="1:19" x14ac:dyDescent="0.25">
      <c r="A132" s="2">
        <v>39966</v>
      </c>
      <c r="B132" s="3">
        <v>0.73402777777777783</v>
      </c>
      <c r="C132" s="1">
        <v>153</v>
      </c>
      <c r="D132" t="s">
        <v>19</v>
      </c>
      <c r="E132" s="1">
        <v>0</v>
      </c>
      <c r="F132" s="1">
        <v>0</v>
      </c>
      <c r="G132" s="1">
        <v>1</v>
      </c>
      <c r="H132">
        <v>0</v>
      </c>
      <c r="I132">
        <v>0</v>
      </c>
      <c r="J132">
        <v>0</v>
      </c>
      <c r="K132">
        <v>0</v>
      </c>
      <c r="S132" t="s">
        <v>6</v>
      </c>
    </row>
    <row r="133" spans="1:19" x14ac:dyDescent="0.25">
      <c r="A133" s="2">
        <v>39967</v>
      </c>
      <c r="B133" s="3">
        <v>0.22916666666666666</v>
      </c>
      <c r="C133" s="1">
        <v>128</v>
      </c>
      <c r="D133" t="s">
        <v>19</v>
      </c>
      <c r="E133" s="1">
        <v>1</v>
      </c>
      <c r="F133" s="1">
        <v>0</v>
      </c>
      <c r="G133" s="1">
        <v>0</v>
      </c>
      <c r="H133">
        <v>0</v>
      </c>
      <c r="I133">
        <v>0</v>
      </c>
      <c r="J133">
        <v>0</v>
      </c>
      <c r="K133">
        <v>0</v>
      </c>
      <c r="S133" t="s">
        <v>4</v>
      </c>
    </row>
    <row r="134" spans="1:19" x14ac:dyDescent="0.25">
      <c r="A134" s="2">
        <v>39968</v>
      </c>
      <c r="B134" s="3">
        <v>0.20902777777777778</v>
      </c>
      <c r="C134" s="1">
        <v>113</v>
      </c>
      <c r="D134" t="s">
        <v>19</v>
      </c>
      <c r="E134" s="1">
        <v>1</v>
      </c>
      <c r="F134" s="1">
        <v>0</v>
      </c>
      <c r="G134" s="1">
        <v>0</v>
      </c>
      <c r="H134">
        <v>0</v>
      </c>
      <c r="I134">
        <v>0</v>
      </c>
      <c r="J134">
        <v>0</v>
      </c>
      <c r="K134">
        <v>0</v>
      </c>
      <c r="S134" t="s">
        <v>4</v>
      </c>
    </row>
    <row r="135" spans="1:19" x14ac:dyDescent="0.25">
      <c r="A135" s="2">
        <v>39968</v>
      </c>
      <c r="B135" s="3">
        <v>0.64513888888888882</v>
      </c>
      <c r="C135" s="1">
        <v>122</v>
      </c>
      <c r="D135" t="s">
        <v>19</v>
      </c>
      <c r="E135" s="1">
        <v>0</v>
      </c>
      <c r="F135" s="1">
        <v>0</v>
      </c>
      <c r="G135" s="1">
        <v>1</v>
      </c>
      <c r="H135">
        <v>0</v>
      </c>
      <c r="I135">
        <v>0</v>
      </c>
      <c r="J135">
        <v>0</v>
      </c>
      <c r="K135">
        <v>0</v>
      </c>
      <c r="S135" t="s">
        <v>6</v>
      </c>
    </row>
    <row r="136" spans="1:19" x14ac:dyDescent="0.25">
      <c r="A136" s="2">
        <v>39968</v>
      </c>
      <c r="B136" s="3">
        <v>0.8041666666666667</v>
      </c>
      <c r="C136" s="1">
        <v>86</v>
      </c>
      <c r="D136" t="s">
        <v>19</v>
      </c>
      <c r="E136" s="1">
        <v>0</v>
      </c>
      <c r="F136" s="1">
        <v>0</v>
      </c>
      <c r="G136" s="1">
        <v>1</v>
      </c>
      <c r="H136">
        <v>0</v>
      </c>
      <c r="I136">
        <v>0</v>
      </c>
      <c r="J136">
        <v>0</v>
      </c>
      <c r="K136">
        <v>0</v>
      </c>
      <c r="S136" t="s">
        <v>6</v>
      </c>
    </row>
    <row r="137" spans="1:19" x14ac:dyDescent="0.25">
      <c r="A137" s="2">
        <v>39969</v>
      </c>
      <c r="B137" s="3">
        <v>0.2722222222222222</v>
      </c>
      <c r="C137" s="1">
        <v>118</v>
      </c>
      <c r="D137" t="s">
        <v>19</v>
      </c>
      <c r="E137" s="1">
        <v>1</v>
      </c>
      <c r="F137" s="1">
        <v>0</v>
      </c>
      <c r="G137" s="1">
        <v>0</v>
      </c>
      <c r="H137">
        <v>0</v>
      </c>
      <c r="I137">
        <v>0</v>
      </c>
      <c r="J137">
        <v>0</v>
      </c>
      <c r="K137">
        <v>0</v>
      </c>
      <c r="S137" t="s">
        <v>4</v>
      </c>
    </row>
    <row r="138" spans="1:19" x14ac:dyDescent="0.25">
      <c r="A138" s="2">
        <v>39969</v>
      </c>
      <c r="B138" s="3">
        <v>0.89583333333333337</v>
      </c>
      <c r="C138" s="1">
        <v>186</v>
      </c>
      <c r="D138" t="s">
        <v>19</v>
      </c>
      <c r="E138" s="1">
        <v>0</v>
      </c>
      <c r="F138" s="1">
        <v>0</v>
      </c>
      <c r="G138" s="1">
        <v>1</v>
      </c>
      <c r="H138">
        <v>0</v>
      </c>
      <c r="I138">
        <v>0</v>
      </c>
      <c r="J138">
        <v>0</v>
      </c>
      <c r="K138">
        <v>0</v>
      </c>
      <c r="S138" t="s">
        <v>6</v>
      </c>
    </row>
    <row r="139" spans="1:19" x14ac:dyDescent="0.25">
      <c r="A139" s="2">
        <v>39970</v>
      </c>
      <c r="B139" s="3">
        <v>0.26111111111111113</v>
      </c>
      <c r="C139" s="1">
        <v>117</v>
      </c>
      <c r="D139" t="s">
        <v>19</v>
      </c>
      <c r="E139" s="1">
        <v>1</v>
      </c>
      <c r="F139" s="1">
        <v>0</v>
      </c>
      <c r="G139" s="1">
        <v>0</v>
      </c>
      <c r="H139">
        <v>0</v>
      </c>
      <c r="I139">
        <v>0</v>
      </c>
      <c r="J139">
        <v>0</v>
      </c>
      <c r="K139">
        <v>0</v>
      </c>
      <c r="S139" t="s">
        <v>4</v>
      </c>
    </row>
    <row r="140" spans="1:19" x14ac:dyDescent="0.25">
      <c r="A140" s="2">
        <v>39970</v>
      </c>
      <c r="B140" s="3">
        <v>0.43263888888888885</v>
      </c>
      <c r="C140" s="1">
        <v>121</v>
      </c>
      <c r="D140" t="s">
        <v>19</v>
      </c>
      <c r="E140" s="1">
        <v>0</v>
      </c>
      <c r="F140" s="1">
        <v>1</v>
      </c>
      <c r="G140" s="1">
        <v>0</v>
      </c>
      <c r="H140">
        <v>0</v>
      </c>
      <c r="I140">
        <v>0</v>
      </c>
      <c r="J140">
        <v>0</v>
      </c>
      <c r="K140">
        <v>0</v>
      </c>
      <c r="S140" t="s">
        <v>20</v>
      </c>
    </row>
    <row r="141" spans="1:19" x14ac:dyDescent="0.25">
      <c r="A141" s="2">
        <v>39970</v>
      </c>
      <c r="B141" s="3">
        <v>0.67499999999999993</v>
      </c>
      <c r="C141" s="1">
        <v>93</v>
      </c>
      <c r="D141" t="s">
        <v>19</v>
      </c>
      <c r="E141" s="1">
        <v>0</v>
      </c>
      <c r="F141" s="1">
        <v>1</v>
      </c>
      <c r="G141" s="1">
        <v>0</v>
      </c>
      <c r="H141">
        <v>0</v>
      </c>
      <c r="I141">
        <v>0</v>
      </c>
      <c r="J141">
        <v>0</v>
      </c>
      <c r="K141">
        <v>0</v>
      </c>
      <c r="S141" t="s">
        <v>20</v>
      </c>
    </row>
    <row r="142" spans="1:19" x14ac:dyDescent="0.25">
      <c r="A142" s="2">
        <v>39970</v>
      </c>
      <c r="B142" s="3">
        <v>0.91875000000000007</v>
      </c>
      <c r="C142" s="1">
        <v>104</v>
      </c>
      <c r="D142" t="s">
        <v>19</v>
      </c>
      <c r="E142" s="1">
        <v>0</v>
      </c>
      <c r="F142" s="1">
        <v>0</v>
      </c>
      <c r="G142" s="1">
        <v>1</v>
      </c>
      <c r="H142">
        <v>0</v>
      </c>
      <c r="I142">
        <v>0</v>
      </c>
      <c r="J142">
        <v>0</v>
      </c>
      <c r="K142">
        <v>0</v>
      </c>
      <c r="S142" t="s">
        <v>6</v>
      </c>
    </row>
    <row r="143" spans="1:19" x14ac:dyDescent="0.25">
      <c r="A143" s="2">
        <v>39971</v>
      </c>
      <c r="B143" s="3">
        <v>0.3888888888888889</v>
      </c>
      <c r="C143" s="1">
        <v>127</v>
      </c>
      <c r="D143" t="s">
        <v>19</v>
      </c>
      <c r="E143" s="1">
        <v>1</v>
      </c>
      <c r="F143" s="1">
        <v>0</v>
      </c>
      <c r="G143" s="1">
        <v>0</v>
      </c>
      <c r="H143">
        <v>0</v>
      </c>
      <c r="I143">
        <v>0</v>
      </c>
      <c r="J143">
        <v>0</v>
      </c>
      <c r="K143">
        <v>0</v>
      </c>
      <c r="S143" t="s">
        <v>4</v>
      </c>
    </row>
    <row r="144" spans="1:19" x14ac:dyDescent="0.25">
      <c r="A144" s="2">
        <v>39971</v>
      </c>
      <c r="B144" s="3">
        <v>0.64583333333333337</v>
      </c>
      <c r="C144" s="1">
        <v>138</v>
      </c>
      <c r="D144" t="s">
        <v>19</v>
      </c>
      <c r="E144" s="1">
        <v>0</v>
      </c>
      <c r="F144" s="1">
        <v>1</v>
      </c>
      <c r="G144" s="1">
        <v>0</v>
      </c>
      <c r="H144">
        <v>0</v>
      </c>
      <c r="I144">
        <v>0</v>
      </c>
      <c r="J144">
        <v>0</v>
      </c>
      <c r="K144">
        <v>0</v>
      </c>
      <c r="S144" t="s">
        <v>20</v>
      </c>
    </row>
    <row r="145" spans="1:19" x14ac:dyDescent="0.25">
      <c r="A145" s="2">
        <v>39971</v>
      </c>
      <c r="B145" s="3">
        <v>0.85833333333333339</v>
      </c>
      <c r="C145" s="1">
        <v>96</v>
      </c>
      <c r="D145" t="s">
        <v>19</v>
      </c>
      <c r="E145" s="1">
        <v>0</v>
      </c>
      <c r="F145" s="1">
        <v>0</v>
      </c>
      <c r="G145" s="1">
        <v>1</v>
      </c>
      <c r="H145">
        <v>0</v>
      </c>
      <c r="I145">
        <v>0</v>
      </c>
      <c r="J145">
        <v>0</v>
      </c>
      <c r="K145">
        <v>0</v>
      </c>
      <c r="S145" t="s">
        <v>6</v>
      </c>
    </row>
    <row r="146" spans="1:19" x14ac:dyDescent="0.25">
      <c r="A146" s="2">
        <v>39972</v>
      </c>
      <c r="B146" s="3">
        <v>0.32222222222222224</v>
      </c>
      <c r="C146" s="1">
        <v>127</v>
      </c>
      <c r="D146" t="s">
        <v>19</v>
      </c>
      <c r="E146" s="1">
        <v>1</v>
      </c>
      <c r="F146" s="1">
        <v>0</v>
      </c>
      <c r="G146" s="1">
        <v>0</v>
      </c>
      <c r="H146">
        <v>0</v>
      </c>
      <c r="I146">
        <v>0</v>
      </c>
      <c r="J146">
        <v>0</v>
      </c>
      <c r="K146">
        <v>0</v>
      </c>
      <c r="S146" t="s">
        <v>4</v>
      </c>
    </row>
    <row r="147" spans="1:19" x14ac:dyDescent="0.25">
      <c r="A147" s="2">
        <v>39972</v>
      </c>
      <c r="B147" s="3">
        <v>0.6430555555555556</v>
      </c>
      <c r="C147" s="1">
        <v>104</v>
      </c>
      <c r="D147" t="s">
        <v>19</v>
      </c>
      <c r="E147" s="1">
        <v>0</v>
      </c>
      <c r="F147" s="1">
        <v>1</v>
      </c>
      <c r="G147" s="1">
        <v>0</v>
      </c>
      <c r="H147">
        <v>0</v>
      </c>
      <c r="I147">
        <v>0</v>
      </c>
      <c r="J147">
        <v>0</v>
      </c>
      <c r="K147">
        <v>0</v>
      </c>
      <c r="S147" t="s">
        <v>20</v>
      </c>
    </row>
    <row r="148" spans="1:19" x14ac:dyDescent="0.25">
      <c r="A148" s="2">
        <v>39973</v>
      </c>
      <c r="B148" s="3">
        <v>9.4444444444444442E-2</v>
      </c>
      <c r="C148" s="1">
        <v>121</v>
      </c>
      <c r="D148" t="s">
        <v>19</v>
      </c>
      <c r="E148" s="1">
        <v>1</v>
      </c>
      <c r="F148" s="1">
        <v>0</v>
      </c>
      <c r="G148" s="1">
        <v>0</v>
      </c>
      <c r="H148">
        <v>0</v>
      </c>
      <c r="I148">
        <v>0</v>
      </c>
      <c r="J148">
        <v>0</v>
      </c>
      <c r="K148">
        <v>0</v>
      </c>
      <c r="S148" t="s">
        <v>4</v>
      </c>
    </row>
    <row r="149" spans="1:19" x14ac:dyDescent="0.25">
      <c r="A149" s="2">
        <v>39973</v>
      </c>
      <c r="B149" s="3">
        <v>0.68541666666666667</v>
      </c>
      <c r="C149" s="1">
        <v>118</v>
      </c>
      <c r="D149" t="s">
        <v>19</v>
      </c>
      <c r="E149" s="1">
        <v>0</v>
      </c>
      <c r="F149" s="1">
        <v>0</v>
      </c>
      <c r="G149" s="1">
        <v>1</v>
      </c>
      <c r="H149">
        <v>0</v>
      </c>
      <c r="I149">
        <v>0</v>
      </c>
      <c r="J149">
        <v>0</v>
      </c>
      <c r="K149">
        <v>0</v>
      </c>
      <c r="S149" t="s">
        <v>6</v>
      </c>
    </row>
    <row r="150" spans="1:19" x14ac:dyDescent="0.25">
      <c r="A150" s="2">
        <v>39974</v>
      </c>
      <c r="B150" s="3">
        <v>0.4069444444444445</v>
      </c>
      <c r="C150" s="1">
        <v>119</v>
      </c>
      <c r="D150" t="s">
        <v>19</v>
      </c>
      <c r="E150" s="1">
        <v>0</v>
      </c>
      <c r="F150" s="1">
        <v>1</v>
      </c>
      <c r="G150" s="1">
        <v>0</v>
      </c>
      <c r="H150">
        <v>0</v>
      </c>
      <c r="I150">
        <v>0</v>
      </c>
      <c r="J150">
        <v>0</v>
      </c>
      <c r="K150">
        <v>0</v>
      </c>
      <c r="S150" t="s">
        <v>20</v>
      </c>
    </row>
    <row r="151" spans="1:19" x14ac:dyDescent="0.25">
      <c r="A151" s="2">
        <v>39974</v>
      </c>
      <c r="B151" s="3">
        <v>0.79027777777777775</v>
      </c>
      <c r="C151" s="1">
        <v>103</v>
      </c>
      <c r="D151" t="s">
        <v>19</v>
      </c>
      <c r="E151" s="1">
        <v>0</v>
      </c>
      <c r="F151" s="1">
        <v>1</v>
      </c>
      <c r="G151" s="1">
        <v>0</v>
      </c>
      <c r="H151">
        <v>0</v>
      </c>
      <c r="I151">
        <v>0</v>
      </c>
      <c r="J151">
        <v>0</v>
      </c>
      <c r="K151">
        <v>0</v>
      </c>
      <c r="S151" t="s">
        <v>20</v>
      </c>
    </row>
    <row r="152" spans="1:19" x14ac:dyDescent="0.25">
      <c r="A152" s="2">
        <v>39975</v>
      </c>
      <c r="B152" s="3">
        <v>0.16874999999999998</v>
      </c>
      <c r="C152" s="1">
        <v>115</v>
      </c>
      <c r="D152" t="s">
        <v>19</v>
      </c>
      <c r="E152" s="1">
        <v>1</v>
      </c>
      <c r="F152" s="1">
        <v>0</v>
      </c>
      <c r="G152" s="1">
        <v>0</v>
      </c>
      <c r="H152">
        <v>0</v>
      </c>
      <c r="I152">
        <v>0</v>
      </c>
      <c r="J152">
        <v>0</v>
      </c>
      <c r="K152">
        <v>0</v>
      </c>
      <c r="S152" t="s">
        <v>4</v>
      </c>
    </row>
    <row r="153" spans="1:19" x14ac:dyDescent="0.25">
      <c r="A153" s="2">
        <v>39976</v>
      </c>
      <c r="B153" s="3">
        <v>0.24652777777777779</v>
      </c>
      <c r="C153" s="1">
        <v>116</v>
      </c>
      <c r="D153" t="s">
        <v>19</v>
      </c>
      <c r="E153" s="1">
        <v>1</v>
      </c>
      <c r="F153" s="1">
        <v>0</v>
      </c>
      <c r="G153" s="1">
        <v>0</v>
      </c>
      <c r="H153">
        <v>0</v>
      </c>
      <c r="I153">
        <v>0</v>
      </c>
      <c r="J153">
        <v>0</v>
      </c>
      <c r="K153">
        <v>0</v>
      </c>
      <c r="S153" t="s">
        <v>4</v>
      </c>
    </row>
    <row r="154" spans="1:19" x14ac:dyDescent="0.25">
      <c r="A154" s="2">
        <v>39976</v>
      </c>
      <c r="B154" s="3">
        <v>0.54097222222222219</v>
      </c>
      <c r="C154" s="1">
        <v>106</v>
      </c>
      <c r="D154" t="s">
        <v>19</v>
      </c>
      <c r="E154" s="1">
        <v>0</v>
      </c>
      <c r="F154" s="1">
        <v>1</v>
      </c>
      <c r="G154" s="1">
        <v>0</v>
      </c>
      <c r="H154">
        <v>0</v>
      </c>
      <c r="I154">
        <v>0</v>
      </c>
      <c r="J154">
        <v>0</v>
      </c>
      <c r="K154">
        <v>0</v>
      </c>
      <c r="S154" t="s">
        <v>20</v>
      </c>
    </row>
    <row r="155" spans="1:19" x14ac:dyDescent="0.25">
      <c r="A155" s="2">
        <v>39976</v>
      </c>
      <c r="B155" s="3">
        <v>0.73333333333333339</v>
      </c>
      <c r="C155" s="1">
        <v>93</v>
      </c>
      <c r="D155" t="s">
        <v>19</v>
      </c>
      <c r="E155" s="1">
        <v>0</v>
      </c>
      <c r="F155" s="1">
        <v>0</v>
      </c>
      <c r="G155" s="1">
        <v>1</v>
      </c>
      <c r="H155">
        <v>0</v>
      </c>
      <c r="I155">
        <v>0</v>
      </c>
      <c r="J155">
        <v>0</v>
      </c>
      <c r="K155">
        <v>0</v>
      </c>
      <c r="S155" t="s">
        <v>6</v>
      </c>
    </row>
    <row r="156" spans="1:19" x14ac:dyDescent="0.25">
      <c r="A156" s="2">
        <v>39977</v>
      </c>
      <c r="B156" s="3">
        <v>0.24236111111111111</v>
      </c>
      <c r="C156" s="1">
        <v>117</v>
      </c>
      <c r="D156" t="s">
        <v>19</v>
      </c>
      <c r="E156" s="1">
        <v>1</v>
      </c>
      <c r="F156" s="1">
        <v>0</v>
      </c>
      <c r="G156" s="1">
        <v>0</v>
      </c>
      <c r="H156">
        <v>0</v>
      </c>
      <c r="I156">
        <v>0</v>
      </c>
      <c r="J156">
        <v>0</v>
      </c>
      <c r="K156">
        <v>0</v>
      </c>
      <c r="S156" t="s">
        <v>4</v>
      </c>
    </row>
    <row r="157" spans="1:19" x14ac:dyDescent="0.25">
      <c r="A157" s="2">
        <v>39977</v>
      </c>
      <c r="B157" s="3">
        <v>0.44305555555555554</v>
      </c>
      <c r="C157" s="1">
        <v>138</v>
      </c>
      <c r="D157" t="s">
        <v>19</v>
      </c>
      <c r="E157" s="1">
        <v>0</v>
      </c>
      <c r="F157" s="1">
        <v>1</v>
      </c>
      <c r="G157" s="1">
        <v>0</v>
      </c>
      <c r="H157">
        <v>0</v>
      </c>
      <c r="I157">
        <v>0</v>
      </c>
      <c r="J157">
        <v>0</v>
      </c>
      <c r="K157">
        <v>0</v>
      </c>
      <c r="S157" t="s">
        <v>20</v>
      </c>
    </row>
    <row r="158" spans="1:19" x14ac:dyDescent="0.25">
      <c r="A158" s="2">
        <v>39977</v>
      </c>
      <c r="B158" s="3">
        <v>0.89374999999999993</v>
      </c>
      <c r="C158" s="1">
        <v>156</v>
      </c>
      <c r="D158" t="s">
        <v>19</v>
      </c>
      <c r="E158" s="1">
        <v>0</v>
      </c>
      <c r="F158" s="1">
        <v>0</v>
      </c>
      <c r="G158" s="1">
        <v>1</v>
      </c>
      <c r="H158">
        <v>0</v>
      </c>
      <c r="I158">
        <v>0</v>
      </c>
      <c r="J158">
        <v>0</v>
      </c>
      <c r="K158">
        <v>0</v>
      </c>
      <c r="S158" t="s">
        <v>6</v>
      </c>
    </row>
    <row r="159" spans="1:19" x14ac:dyDescent="0.25">
      <c r="A159" s="2">
        <v>39978</v>
      </c>
      <c r="B159" s="3">
        <v>0.26319444444444445</v>
      </c>
      <c r="C159" s="1">
        <v>119</v>
      </c>
      <c r="D159" t="s">
        <v>19</v>
      </c>
      <c r="E159" s="1">
        <v>1</v>
      </c>
      <c r="F159" s="1">
        <v>0</v>
      </c>
      <c r="G159" s="1">
        <v>0</v>
      </c>
      <c r="H159">
        <v>0</v>
      </c>
      <c r="I159">
        <v>0</v>
      </c>
      <c r="J159">
        <v>0</v>
      </c>
      <c r="K159">
        <v>0</v>
      </c>
      <c r="S159" t="s">
        <v>4</v>
      </c>
    </row>
    <row r="160" spans="1:19" x14ac:dyDescent="0.25">
      <c r="A160" s="2">
        <v>39978</v>
      </c>
      <c r="B160" s="3">
        <v>0.58124999999999993</v>
      </c>
      <c r="C160" s="1">
        <v>105</v>
      </c>
      <c r="D160" t="s">
        <v>19</v>
      </c>
      <c r="E160" s="1">
        <v>0</v>
      </c>
      <c r="F160" s="1">
        <v>1</v>
      </c>
      <c r="G160" s="1">
        <v>0</v>
      </c>
      <c r="H160">
        <v>0</v>
      </c>
      <c r="I160">
        <v>0</v>
      </c>
      <c r="J160">
        <v>0</v>
      </c>
      <c r="K160">
        <v>0</v>
      </c>
      <c r="S160" t="s">
        <v>20</v>
      </c>
    </row>
    <row r="161" spans="1:19" x14ac:dyDescent="0.25">
      <c r="A161" s="2">
        <v>39978</v>
      </c>
      <c r="B161" s="3">
        <v>0.79861111111111116</v>
      </c>
      <c r="C161" s="1">
        <v>119</v>
      </c>
      <c r="D161" t="s">
        <v>19</v>
      </c>
      <c r="E161" s="1">
        <v>0</v>
      </c>
      <c r="F161" s="1">
        <v>0</v>
      </c>
      <c r="G161" s="1">
        <v>1</v>
      </c>
      <c r="H161">
        <v>0</v>
      </c>
      <c r="I161">
        <v>0</v>
      </c>
      <c r="J161">
        <v>0</v>
      </c>
      <c r="K161">
        <v>0</v>
      </c>
      <c r="S161" t="s">
        <v>6</v>
      </c>
    </row>
    <row r="162" spans="1:19" x14ac:dyDescent="0.25">
      <c r="A162" s="2">
        <v>39979</v>
      </c>
      <c r="B162" s="3">
        <v>0.23472222222222219</v>
      </c>
      <c r="C162" s="1">
        <v>129</v>
      </c>
      <c r="D162" t="s">
        <v>19</v>
      </c>
      <c r="E162" s="1">
        <v>1</v>
      </c>
      <c r="F162" s="1">
        <v>0</v>
      </c>
      <c r="G162" s="1">
        <v>0</v>
      </c>
      <c r="H162">
        <v>0</v>
      </c>
      <c r="I162">
        <v>0</v>
      </c>
      <c r="J162">
        <v>0</v>
      </c>
      <c r="K162">
        <v>0</v>
      </c>
      <c r="S162" t="s">
        <v>4</v>
      </c>
    </row>
    <row r="163" spans="1:19" x14ac:dyDescent="0.25">
      <c r="A163" s="2">
        <v>39979</v>
      </c>
      <c r="B163" s="3">
        <v>0.61805555555555558</v>
      </c>
      <c r="C163" s="1">
        <v>106</v>
      </c>
      <c r="D163" t="s">
        <v>19</v>
      </c>
      <c r="E163" s="1">
        <v>0</v>
      </c>
      <c r="F163" s="1">
        <v>1</v>
      </c>
      <c r="G163" s="1">
        <v>0</v>
      </c>
      <c r="H163">
        <v>0</v>
      </c>
      <c r="I163">
        <v>0</v>
      </c>
      <c r="J163">
        <v>0</v>
      </c>
      <c r="K163">
        <v>0</v>
      </c>
      <c r="S163" t="s">
        <v>20</v>
      </c>
    </row>
    <row r="164" spans="1:19" x14ac:dyDescent="0.25">
      <c r="A164" s="2">
        <v>39979</v>
      </c>
      <c r="B164" s="3">
        <v>0.72638888888888886</v>
      </c>
      <c r="C164" s="1">
        <v>120</v>
      </c>
      <c r="D164" t="s">
        <v>19</v>
      </c>
      <c r="E164" s="1">
        <v>0</v>
      </c>
      <c r="F164" s="1">
        <v>0</v>
      </c>
      <c r="G164" s="1">
        <v>1</v>
      </c>
      <c r="H164">
        <v>0</v>
      </c>
      <c r="I164">
        <v>0</v>
      </c>
      <c r="J164">
        <v>0</v>
      </c>
      <c r="K164">
        <v>0</v>
      </c>
      <c r="S164" t="s">
        <v>6</v>
      </c>
    </row>
    <row r="165" spans="1:19" x14ac:dyDescent="0.25">
      <c r="A165" s="2">
        <v>39980</v>
      </c>
      <c r="B165" s="3">
        <v>0.26597222222222222</v>
      </c>
      <c r="C165" s="1">
        <v>131</v>
      </c>
      <c r="D165" t="s">
        <v>19</v>
      </c>
      <c r="E165" s="1">
        <v>1</v>
      </c>
      <c r="F165" s="1">
        <v>0</v>
      </c>
      <c r="G165" s="1">
        <v>0</v>
      </c>
      <c r="H165">
        <v>0</v>
      </c>
      <c r="I165">
        <v>0</v>
      </c>
      <c r="J165">
        <v>0</v>
      </c>
      <c r="K165">
        <v>0</v>
      </c>
      <c r="S165" t="s">
        <v>4</v>
      </c>
    </row>
    <row r="166" spans="1:19" x14ac:dyDescent="0.25">
      <c r="A166" s="2">
        <v>39980</v>
      </c>
      <c r="B166" s="3">
        <v>0.85833333333333339</v>
      </c>
      <c r="C166" s="1">
        <v>97</v>
      </c>
      <c r="D166" t="s">
        <v>19</v>
      </c>
      <c r="E166" s="1">
        <v>0</v>
      </c>
      <c r="F166" s="1">
        <v>0</v>
      </c>
      <c r="G166" s="1">
        <v>1</v>
      </c>
      <c r="H166">
        <v>0</v>
      </c>
      <c r="I166">
        <v>0</v>
      </c>
      <c r="J166">
        <v>0</v>
      </c>
      <c r="K166">
        <v>0</v>
      </c>
      <c r="S166" t="s">
        <v>6</v>
      </c>
    </row>
    <row r="167" spans="1:19" x14ac:dyDescent="0.25">
      <c r="A167" s="2">
        <v>39981</v>
      </c>
      <c r="B167" s="3">
        <v>0.30902777777777779</v>
      </c>
      <c r="C167" s="1">
        <v>129</v>
      </c>
      <c r="D167" t="s">
        <v>19</v>
      </c>
      <c r="E167" s="1">
        <v>1</v>
      </c>
      <c r="F167" s="1">
        <v>0</v>
      </c>
      <c r="G167" s="1">
        <v>0</v>
      </c>
      <c r="H167">
        <v>0</v>
      </c>
      <c r="I167">
        <v>0</v>
      </c>
      <c r="J167">
        <v>0</v>
      </c>
      <c r="K167">
        <v>0</v>
      </c>
      <c r="S167" t="s">
        <v>4</v>
      </c>
    </row>
    <row r="168" spans="1:19" x14ac:dyDescent="0.25">
      <c r="A168" s="2">
        <v>39981</v>
      </c>
      <c r="B168" s="3">
        <v>0.56319444444444444</v>
      </c>
      <c r="C168" s="1">
        <v>129</v>
      </c>
      <c r="D168" t="s">
        <v>19</v>
      </c>
      <c r="E168" s="1">
        <v>1</v>
      </c>
      <c r="F168" s="1">
        <v>0</v>
      </c>
      <c r="G168" s="1">
        <v>0</v>
      </c>
      <c r="H168">
        <v>0</v>
      </c>
      <c r="I168">
        <v>0</v>
      </c>
      <c r="J168">
        <v>0</v>
      </c>
      <c r="K168">
        <v>0</v>
      </c>
      <c r="S168" t="s">
        <v>4</v>
      </c>
    </row>
    <row r="169" spans="1:19" x14ac:dyDescent="0.25">
      <c r="A169" s="2">
        <v>39982</v>
      </c>
      <c r="B169" s="3">
        <v>0.25625000000000003</v>
      </c>
      <c r="C169" s="1">
        <v>111</v>
      </c>
      <c r="D169" t="s">
        <v>19</v>
      </c>
      <c r="E169" s="1">
        <v>1</v>
      </c>
      <c r="F169" s="1">
        <v>0</v>
      </c>
      <c r="G169" s="1">
        <v>0</v>
      </c>
      <c r="H169">
        <v>0</v>
      </c>
      <c r="I169">
        <v>0</v>
      </c>
      <c r="J169">
        <v>0</v>
      </c>
      <c r="K169">
        <v>0</v>
      </c>
      <c r="S169" t="s">
        <v>4</v>
      </c>
    </row>
    <row r="170" spans="1:19" x14ac:dyDescent="0.25">
      <c r="A170" s="2">
        <v>39983</v>
      </c>
      <c r="B170" s="3">
        <v>0.81180555555555556</v>
      </c>
      <c r="C170" s="1">
        <v>101</v>
      </c>
      <c r="D170" t="s">
        <v>19</v>
      </c>
      <c r="E170" s="1">
        <v>0</v>
      </c>
      <c r="F170" s="1">
        <v>1</v>
      </c>
      <c r="G170" s="1">
        <v>0</v>
      </c>
      <c r="H170">
        <v>0</v>
      </c>
      <c r="I170">
        <v>0</v>
      </c>
      <c r="J170">
        <v>0</v>
      </c>
      <c r="K170">
        <v>0</v>
      </c>
      <c r="S170" t="s">
        <v>20</v>
      </c>
    </row>
    <row r="171" spans="1:19" x14ac:dyDescent="0.25">
      <c r="A171" s="2">
        <v>39984</v>
      </c>
      <c r="B171" s="3">
        <v>0.23124999999999998</v>
      </c>
      <c r="C171" s="1">
        <v>126</v>
      </c>
      <c r="D171" t="s">
        <v>19</v>
      </c>
      <c r="E171" s="1">
        <v>1</v>
      </c>
      <c r="F171" s="1">
        <v>0</v>
      </c>
      <c r="G171" s="1">
        <v>0</v>
      </c>
      <c r="H171">
        <v>0</v>
      </c>
      <c r="I171">
        <v>0</v>
      </c>
      <c r="J171">
        <v>0</v>
      </c>
      <c r="K171">
        <v>0</v>
      </c>
      <c r="S171" t="s">
        <v>4</v>
      </c>
    </row>
    <row r="172" spans="1:19" x14ac:dyDescent="0.25">
      <c r="A172" s="2">
        <v>39985</v>
      </c>
      <c r="B172" s="3">
        <v>0.25555555555555559</v>
      </c>
      <c r="C172" s="1">
        <v>123</v>
      </c>
      <c r="D172" t="s">
        <v>19</v>
      </c>
      <c r="E172" s="1">
        <v>1</v>
      </c>
      <c r="F172" s="1">
        <v>0</v>
      </c>
      <c r="G172" s="1">
        <v>0</v>
      </c>
      <c r="H172">
        <v>0</v>
      </c>
      <c r="I172">
        <v>0</v>
      </c>
      <c r="J172">
        <v>0</v>
      </c>
      <c r="K172">
        <v>0</v>
      </c>
      <c r="S172" t="s">
        <v>4</v>
      </c>
    </row>
    <row r="173" spans="1:19" x14ac:dyDescent="0.25">
      <c r="A173" s="2">
        <v>39985</v>
      </c>
      <c r="B173" s="3">
        <v>0.66388888888888886</v>
      </c>
      <c r="C173" s="1">
        <v>103</v>
      </c>
      <c r="D173" t="s">
        <v>19</v>
      </c>
      <c r="E173" s="1">
        <v>0</v>
      </c>
      <c r="F173" s="1">
        <v>0</v>
      </c>
      <c r="G173" s="1">
        <v>1</v>
      </c>
      <c r="H173">
        <v>0</v>
      </c>
      <c r="I173">
        <v>0</v>
      </c>
      <c r="J173">
        <v>0</v>
      </c>
      <c r="K173">
        <v>0</v>
      </c>
      <c r="S173" t="s">
        <v>6</v>
      </c>
    </row>
    <row r="174" spans="1:19" x14ac:dyDescent="0.25">
      <c r="A174" s="2">
        <v>39986</v>
      </c>
      <c r="B174" s="3">
        <v>0.27847222222222223</v>
      </c>
      <c r="C174" s="1">
        <v>139</v>
      </c>
      <c r="D174" t="s">
        <v>19</v>
      </c>
      <c r="E174" s="1">
        <v>0</v>
      </c>
      <c r="F174" s="1">
        <v>1</v>
      </c>
      <c r="G174" s="1">
        <v>0</v>
      </c>
      <c r="H174">
        <v>0</v>
      </c>
      <c r="I174">
        <v>0</v>
      </c>
      <c r="J174">
        <v>0</v>
      </c>
      <c r="K174">
        <v>0</v>
      </c>
      <c r="S174" t="s">
        <v>20</v>
      </c>
    </row>
    <row r="175" spans="1:19" x14ac:dyDescent="0.25">
      <c r="A175" s="2">
        <v>39986</v>
      </c>
      <c r="B175" s="3">
        <v>0.79722222222222217</v>
      </c>
      <c r="C175" s="1">
        <v>118</v>
      </c>
      <c r="D175" t="s">
        <v>19</v>
      </c>
      <c r="E175" s="1">
        <v>0</v>
      </c>
      <c r="F175" s="1">
        <v>0</v>
      </c>
      <c r="G175" s="1">
        <v>1</v>
      </c>
      <c r="H175">
        <v>0</v>
      </c>
      <c r="I175">
        <v>0</v>
      </c>
      <c r="J175">
        <v>0</v>
      </c>
      <c r="K175">
        <v>0</v>
      </c>
      <c r="S175" t="s">
        <v>6</v>
      </c>
    </row>
    <row r="176" spans="1:19" x14ac:dyDescent="0.25">
      <c r="A176" s="2">
        <v>39987</v>
      </c>
      <c r="B176" s="3">
        <v>0.29652777777777778</v>
      </c>
      <c r="C176" s="1">
        <v>125</v>
      </c>
      <c r="D176" t="s">
        <v>19</v>
      </c>
      <c r="E176" s="1">
        <v>1</v>
      </c>
      <c r="F176" s="1">
        <v>0</v>
      </c>
      <c r="G176" s="1">
        <v>0</v>
      </c>
      <c r="H176">
        <v>0</v>
      </c>
      <c r="I176">
        <v>0</v>
      </c>
      <c r="J176">
        <v>0</v>
      </c>
      <c r="K176">
        <v>0</v>
      </c>
      <c r="S176" t="s">
        <v>4</v>
      </c>
    </row>
    <row r="177" spans="1:19" x14ac:dyDescent="0.25">
      <c r="A177" s="2">
        <v>39987</v>
      </c>
      <c r="B177" s="3">
        <v>0.85555555555555562</v>
      </c>
      <c r="C177" s="1">
        <v>106</v>
      </c>
      <c r="D177" t="s">
        <v>19</v>
      </c>
      <c r="E177" s="1">
        <v>0</v>
      </c>
      <c r="F177" s="1">
        <v>1</v>
      </c>
      <c r="G177" s="1">
        <v>0</v>
      </c>
      <c r="H177">
        <v>0</v>
      </c>
      <c r="I177">
        <v>0</v>
      </c>
      <c r="J177">
        <v>0</v>
      </c>
      <c r="K177">
        <v>0</v>
      </c>
      <c r="S177" t="s">
        <v>20</v>
      </c>
    </row>
    <row r="178" spans="1:19" x14ac:dyDescent="0.25">
      <c r="A178" s="2">
        <v>39988</v>
      </c>
      <c r="B178" s="3">
        <v>0.24236111111111111</v>
      </c>
      <c r="C178" s="1">
        <v>130</v>
      </c>
      <c r="D178" t="s">
        <v>19</v>
      </c>
      <c r="E178" s="1">
        <v>1</v>
      </c>
      <c r="F178" s="1">
        <v>0</v>
      </c>
      <c r="G178" s="1">
        <v>0</v>
      </c>
      <c r="H178">
        <v>0</v>
      </c>
      <c r="I178">
        <v>0</v>
      </c>
      <c r="J178">
        <v>0</v>
      </c>
      <c r="K178">
        <v>0</v>
      </c>
      <c r="S178" t="s">
        <v>4</v>
      </c>
    </row>
    <row r="179" spans="1:19" x14ac:dyDescent="0.25">
      <c r="A179" s="2">
        <v>39989</v>
      </c>
      <c r="B179" s="3">
        <v>0.24166666666666667</v>
      </c>
      <c r="C179" s="1">
        <v>118</v>
      </c>
      <c r="D179" t="s">
        <v>19</v>
      </c>
      <c r="E179" s="1">
        <v>1</v>
      </c>
      <c r="F179" s="1">
        <v>0</v>
      </c>
      <c r="G179" s="1">
        <v>0</v>
      </c>
      <c r="H179">
        <v>0</v>
      </c>
      <c r="I179">
        <v>0</v>
      </c>
      <c r="J179">
        <v>0</v>
      </c>
      <c r="K179">
        <v>0</v>
      </c>
      <c r="S179" t="s">
        <v>4</v>
      </c>
    </row>
    <row r="180" spans="1:19" x14ac:dyDescent="0.25">
      <c r="A180" s="2">
        <v>39989</v>
      </c>
      <c r="B180" s="3">
        <v>0.78125</v>
      </c>
      <c r="C180" s="1">
        <v>127</v>
      </c>
      <c r="D180" t="s">
        <v>19</v>
      </c>
      <c r="E180" s="1">
        <v>0</v>
      </c>
      <c r="F180" s="1">
        <v>0</v>
      </c>
      <c r="G180" s="1">
        <v>1</v>
      </c>
      <c r="H180">
        <v>0</v>
      </c>
      <c r="I180">
        <v>0</v>
      </c>
      <c r="J180">
        <v>0</v>
      </c>
      <c r="K180">
        <v>0</v>
      </c>
      <c r="S180" t="s">
        <v>6</v>
      </c>
    </row>
    <row r="181" spans="1:19" x14ac:dyDescent="0.25">
      <c r="A181" s="2">
        <v>39990</v>
      </c>
      <c r="B181" s="3">
        <v>0.25763888888888892</v>
      </c>
      <c r="C181" s="1">
        <v>124</v>
      </c>
      <c r="D181" t="s">
        <v>19</v>
      </c>
      <c r="E181" s="1">
        <v>1</v>
      </c>
      <c r="F181" s="1">
        <v>0</v>
      </c>
      <c r="G181" s="1">
        <v>0</v>
      </c>
      <c r="H181">
        <v>0</v>
      </c>
      <c r="I181">
        <v>0</v>
      </c>
      <c r="J181">
        <v>0</v>
      </c>
      <c r="K181">
        <v>0</v>
      </c>
      <c r="S181" t="s">
        <v>4</v>
      </c>
    </row>
    <row r="182" spans="1:19" x14ac:dyDescent="0.25">
      <c r="A182" s="2">
        <v>39990</v>
      </c>
      <c r="B182" s="3">
        <v>0.59097222222222223</v>
      </c>
      <c r="C182" s="1">
        <v>111</v>
      </c>
      <c r="D182" t="s">
        <v>19</v>
      </c>
      <c r="E182" s="1">
        <v>0</v>
      </c>
      <c r="F182" s="1">
        <v>0</v>
      </c>
      <c r="G182" s="1">
        <v>1</v>
      </c>
      <c r="H182">
        <v>0</v>
      </c>
      <c r="I182">
        <v>0</v>
      </c>
      <c r="J182">
        <v>0</v>
      </c>
      <c r="K182">
        <v>0</v>
      </c>
      <c r="S182" t="s">
        <v>6</v>
      </c>
    </row>
    <row r="183" spans="1:19" x14ac:dyDescent="0.25">
      <c r="A183" s="2">
        <v>39990</v>
      </c>
      <c r="B183" s="3">
        <v>0.73333333333333339</v>
      </c>
      <c r="C183" s="1">
        <v>112</v>
      </c>
      <c r="D183" t="s">
        <v>19</v>
      </c>
      <c r="E183" s="1">
        <v>0</v>
      </c>
      <c r="F183" s="1">
        <v>0</v>
      </c>
      <c r="G183" s="1">
        <v>1</v>
      </c>
      <c r="H183">
        <v>0</v>
      </c>
      <c r="I183">
        <v>0</v>
      </c>
      <c r="J183">
        <v>0</v>
      </c>
      <c r="K183">
        <v>0</v>
      </c>
      <c r="S183" t="s">
        <v>6</v>
      </c>
    </row>
    <row r="184" spans="1:19" x14ac:dyDescent="0.25">
      <c r="A184" s="2">
        <v>39991</v>
      </c>
      <c r="B184" s="3">
        <v>0.53472222222222221</v>
      </c>
      <c r="C184" s="1">
        <v>113</v>
      </c>
      <c r="D184" t="s">
        <v>19</v>
      </c>
      <c r="E184" s="1">
        <v>0</v>
      </c>
      <c r="F184" s="1">
        <v>1</v>
      </c>
      <c r="G184" s="1">
        <v>0</v>
      </c>
      <c r="H184">
        <v>0</v>
      </c>
      <c r="I184">
        <v>0</v>
      </c>
      <c r="J184">
        <v>0</v>
      </c>
      <c r="K184">
        <v>0</v>
      </c>
      <c r="S184" t="s">
        <v>20</v>
      </c>
    </row>
    <row r="185" spans="1:19" x14ac:dyDescent="0.25">
      <c r="A185" s="2">
        <v>39992</v>
      </c>
      <c r="B185" s="3">
        <v>0.3</v>
      </c>
      <c r="C185" s="1">
        <v>117</v>
      </c>
      <c r="D185" t="s">
        <v>19</v>
      </c>
      <c r="E185" s="1">
        <v>1</v>
      </c>
      <c r="F185" s="1">
        <v>0</v>
      </c>
      <c r="G185" s="1">
        <v>0</v>
      </c>
      <c r="H185">
        <v>0</v>
      </c>
      <c r="I185">
        <v>0</v>
      </c>
      <c r="J185">
        <v>0</v>
      </c>
      <c r="K185">
        <v>0</v>
      </c>
      <c r="S185" t="s">
        <v>4</v>
      </c>
    </row>
    <row r="186" spans="1:19" x14ac:dyDescent="0.25">
      <c r="A186" s="2">
        <v>39992</v>
      </c>
      <c r="B186" s="3">
        <v>0.87291666666666667</v>
      </c>
      <c r="C186" s="1">
        <v>106</v>
      </c>
      <c r="D186" t="s">
        <v>19</v>
      </c>
      <c r="E186" s="1">
        <v>0</v>
      </c>
      <c r="F186" s="1">
        <v>0</v>
      </c>
      <c r="G186" s="1">
        <v>1</v>
      </c>
      <c r="H186">
        <v>0</v>
      </c>
      <c r="I186">
        <v>0</v>
      </c>
      <c r="J186">
        <v>0</v>
      </c>
      <c r="K186">
        <v>0</v>
      </c>
      <c r="S186" t="s">
        <v>6</v>
      </c>
    </row>
    <row r="187" spans="1:19" x14ac:dyDescent="0.25">
      <c r="A187" s="2">
        <v>39993</v>
      </c>
      <c r="B187" s="3">
        <v>0.26041666666666669</v>
      </c>
      <c r="C187" s="1">
        <v>107</v>
      </c>
      <c r="D187" t="s">
        <v>19</v>
      </c>
      <c r="E187" s="1">
        <v>1</v>
      </c>
      <c r="F187" s="1">
        <v>0</v>
      </c>
      <c r="G187" s="1">
        <v>0</v>
      </c>
      <c r="H187">
        <v>0</v>
      </c>
      <c r="I187">
        <v>0</v>
      </c>
      <c r="J187">
        <v>0</v>
      </c>
      <c r="K187">
        <v>0</v>
      </c>
      <c r="S187" t="s">
        <v>4</v>
      </c>
    </row>
    <row r="188" spans="1:19" x14ac:dyDescent="0.25">
      <c r="A188" s="2">
        <v>39993</v>
      </c>
      <c r="B188" s="3">
        <v>0.62708333333333333</v>
      </c>
      <c r="C188" s="1">
        <v>105</v>
      </c>
      <c r="D188" t="s">
        <v>19</v>
      </c>
      <c r="E188" s="1">
        <v>0</v>
      </c>
      <c r="F188" s="1">
        <v>0</v>
      </c>
      <c r="G188" s="1">
        <v>1</v>
      </c>
      <c r="H188">
        <v>0</v>
      </c>
      <c r="I188">
        <v>0</v>
      </c>
      <c r="J188">
        <v>0</v>
      </c>
      <c r="K188">
        <v>0</v>
      </c>
      <c r="S188" t="s">
        <v>6</v>
      </c>
    </row>
    <row r="189" spans="1:19" x14ac:dyDescent="0.25">
      <c r="A189" s="2">
        <v>39994</v>
      </c>
      <c r="B189" s="3">
        <v>0.32430555555555557</v>
      </c>
      <c r="C189" s="1">
        <v>151</v>
      </c>
      <c r="D189" t="s">
        <v>19</v>
      </c>
      <c r="E189" s="1">
        <v>1</v>
      </c>
      <c r="F189" s="1">
        <v>0</v>
      </c>
      <c r="G189" s="1">
        <v>0</v>
      </c>
      <c r="H189">
        <v>0</v>
      </c>
      <c r="I189">
        <v>0</v>
      </c>
      <c r="J189">
        <v>0</v>
      </c>
      <c r="K189">
        <v>0</v>
      </c>
      <c r="S189" t="s">
        <v>4</v>
      </c>
    </row>
    <row r="190" spans="1:19" x14ac:dyDescent="0.25">
      <c r="A190" s="2">
        <v>39994</v>
      </c>
      <c r="B190" s="3">
        <v>0.65138888888888891</v>
      </c>
      <c r="C190" s="1">
        <v>125</v>
      </c>
      <c r="D190" t="s">
        <v>19</v>
      </c>
      <c r="E190" s="1">
        <v>0</v>
      </c>
      <c r="F190" s="1">
        <v>0</v>
      </c>
      <c r="G190" s="1">
        <v>1</v>
      </c>
      <c r="H190">
        <v>0</v>
      </c>
      <c r="I190">
        <v>0</v>
      </c>
      <c r="J190">
        <v>0</v>
      </c>
      <c r="K190">
        <v>0</v>
      </c>
      <c r="S190" t="s">
        <v>6</v>
      </c>
    </row>
    <row r="191" spans="1:19" x14ac:dyDescent="0.25">
      <c r="A191" s="2">
        <v>39994</v>
      </c>
      <c r="B191" s="3">
        <v>0.68472222222222223</v>
      </c>
      <c r="C191" s="1">
        <v>189</v>
      </c>
      <c r="D191" t="s">
        <v>19</v>
      </c>
      <c r="E191" s="1">
        <v>0</v>
      </c>
      <c r="F191" s="1">
        <v>0</v>
      </c>
      <c r="G191" s="1">
        <v>1</v>
      </c>
      <c r="H191">
        <v>0</v>
      </c>
      <c r="I191">
        <v>0</v>
      </c>
      <c r="J191">
        <v>0</v>
      </c>
      <c r="K191">
        <v>0</v>
      </c>
      <c r="S191" t="s">
        <v>6</v>
      </c>
    </row>
    <row r="192" spans="1:19" x14ac:dyDescent="0.25">
      <c r="A192" s="2">
        <v>39995</v>
      </c>
      <c r="B192" s="3">
        <v>0.27291666666666664</v>
      </c>
      <c r="C192" s="1">
        <v>108</v>
      </c>
      <c r="D192" t="s">
        <v>19</v>
      </c>
      <c r="E192" s="1">
        <v>1</v>
      </c>
      <c r="F192" s="1">
        <v>0</v>
      </c>
      <c r="G192" s="1">
        <v>0</v>
      </c>
      <c r="H192">
        <v>0</v>
      </c>
      <c r="I192">
        <v>0</v>
      </c>
      <c r="J192">
        <v>0</v>
      </c>
      <c r="K192">
        <v>0</v>
      </c>
      <c r="S192" t="s">
        <v>4</v>
      </c>
    </row>
    <row r="193" spans="1:19" x14ac:dyDescent="0.25">
      <c r="A193" s="2">
        <v>39995</v>
      </c>
      <c r="B193" s="3">
        <v>0.6777777777777777</v>
      </c>
      <c r="C193" s="1">
        <v>99</v>
      </c>
      <c r="D193" t="s">
        <v>19</v>
      </c>
      <c r="E193" s="1">
        <v>0</v>
      </c>
      <c r="F193" s="1">
        <v>1</v>
      </c>
      <c r="G193" s="1">
        <v>0</v>
      </c>
      <c r="H193">
        <v>0</v>
      </c>
      <c r="I193">
        <v>0</v>
      </c>
      <c r="J193">
        <v>0</v>
      </c>
      <c r="K193">
        <v>0</v>
      </c>
      <c r="S193" t="s">
        <v>20</v>
      </c>
    </row>
    <row r="194" spans="1:19" x14ac:dyDescent="0.25">
      <c r="A194" s="2">
        <v>39996</v>
      </c>
      <c r="B194" s="3">
        <v>0.29236111111111113</v>
      </c>
      <c r="C194" s="1">
        <v>106</v>
      </c>
      <c r="D194" t="s">
        <v>19</v>
      </c>
      <c r="E194" s="1">
        <v>1</v>
      </c>
      <c r="F194" s="1">
        <v>0</v>
      </c>
      <c r="G194" s="1">
        <v>0</v>
      </c>
      <c r="H194">
        <v>0</v>
      </c>
      <c r="I194">
        <v>0</v>
      </c>
      <c r="J194">
        <v>0</v>
      </c>
      <c r="K194">
        <v>0</v>
      </c>
      <c r="S194" t="s">
        <v>4</v>
      </c>
    </row>
    <row r="195" spans="1:19" x14ac:dyDescent="0.25">
      <c r="A195" s="2">
        <v>39996</v>
      </c>
      <c r="B195" s="3">
        <v>0.58402777777777781</v>
      </c>
      <c r="C195" s="1">
        <v>109</v>
      </c>
      <c r="D195" t="s">
        <v>19</v>
      </c>
      <c r="E195" s="1">
        <v>0</v>
      </c>
      <c r="F195" s="1">
        <v>0</v>
      </c>
      <c r="G195" s="1">
        <v>1</v>
      </c>
      <c r="H195">
        <v>0</v>
      </c>
      <c r="I195">
        <v>0</v>
      </c>
      <c r="J195">
        <v>0</v>
      </c>
      <c r="K195">
        <v>0</v>
      </c>
      <c r="S195" t="s">
        <v>6</v>
      </c>
    </row>
    <row r="196" spans="1:19" x14ac:dyDescent="0.25">
      <c r="A196" s="2">
        <v>39996</v>
      </c>
      <c r="B196" s="3">
        <v>0.85138888888888886</v>
      </c>
      <c r="C196" s="1">
        <v>99</v>
      </c>
      <c r="D196" t="s">
        <v>19</v>
      </c>
      <c r="E196" s="1">
        <v>0</v>
      </c>
      <c r="F196" s="1">
        <v>0</v>
      </c>
      <c r="G196" s="1">
        <v>1</v>
      </c>
      <c r="H196">
        <v>0</v>
      </c>
      <c r="I196">
        <v>0</v>
      </c>
      <c r="J196">
        <v>0</v>
      </c>
      <c r="K196">
        <v>0</v>
      </c>
      <c r="S196" t="s">
        <v>6</v>
      </c>
    </row>
    <row r="197" spans="1:19" x14ac:dyDescent="0.25">
      <c r="A197" s="2">
        <v>39997</v>
      </c>
      <c r="B197" s="3">
        <v>0.21180555555555555</v>
      </c>
      <c r="C197" s="1">
        <v>106</v>
      </c>
      <c r="D197" t="s">
        <v>19</v>
      </c>
      <c r="E197" s="1">
        <v>1</v>
      </c>
      <c r="F197" s="1">
        <v>0</v>
      </c>
      <c r="G197" s="1">
        <v>0</v>
      </c>
      <c r="H197">
        <v>0</v>
      </c>
      <c r="I197">
        <v>0</v>
      </c>
      <c r="J197">
        <v>0</v>
      </c>
      <c r="K197">
        <v>0</v>
      </c>
      <c r="S197" t="s">
        <v>4</v>
      </c>
    </row>
    <row r="198" spans="1:19" x14ac:dyDescent="0.25">
      <c r="A198" s="2">
        <v>39999</v>
      </c>
      <c r="B198" s="3">
        <v>0.42708333333333331</v>
      </c>
      <c r="C198" s="1">
        <v>116</v>
      </c>
      <c r="D198" t="s">
        <v>19</v>
      </c>
      <c r="E198" s="1">
        <v>1</v>
      </c>
      <c r="F198" s="1">
        <v>0</v>
      </c>
      <c r="G198" s="1">
        <v>0</v>
      </c>
      <c r="H198">
        <v>0</v>
      </c>
      <c r="I198">
        <v>0</v>
      </c>
      <c r="J198">
        <v>0</v>
      </c>
      <c r="K198">
        <v>0</v>
      </c>
      <c r="S198" t="s">
        <v>4</v>
      </c>
    </row>
    <row r="199" spans="1:19" x14ac:dyDescent="0.25">
      <c r="A199" s="2">
        <v>40000</v>
      </c>
      <c r="B199" s="3">
        <v>0.37291666666666662</v>
      </c>
      <c r="C199" s="1">
        <v>120</v>
      </c>
      <c r="D199" t="s">
        <v>19</v>
      </c>
      <c r="E199" s="1">
        <v>1</v>
      </c>
      <c r="F199" s="1">
        <v>0</v>
      </c>
      <c r="G199" s="1">
        <v>0</v>
      </c>
      <c r="H199">
        <v>0</v>
      </c>
      <c r="I199">
        <v>0</v>
      </c>
      <c r="J199">
        <v>0</v>
      </c>
      <c r="K199">
        <v>0</v>
      </c>
      <c r="S199" t="s">
        <v>4</v>
      </c>
    </row>
    <row r="200" spans="1:19" x14ac:dyDescent="0.25">
      <c r="A200" s="2">
        <v>40001</v>
      </c>
      <c r="B200" s="3">
        <v>0.28888888888888892</v>
      </c>
      <c r="C200" s="1">
        <v>117</v>
      </c>
      <c r="D200" t="s">
        <v>19</v>
      </c>
      <c r="E200" s="1">
        <v>1</v>
      </c>
      <c r="F200" s="1">
        <v>0</v>
      </c>
      <c r="G200" s="1">
        <v>0</v>
      </c>
      <c r="H200">
        <v>0</v>
      </c>
      <c r="I200">
        <v>0</v>
      </c>
      <c r="J200">
        <v>0</v>
      </c>
      <c r="K200">
        <v>0</v>
      </c>
      <c r="S200" t="s">
        <v>4</v>
      </c>
    </row>
    <row r="201" spans="1:19" x14ac:dyDescent="0.25">
      <c r="A201" s="2">
        <v>40002</v>
      </c>
      <c r="B201" s="3">
        <v>0.24166666666666667</v>
      </c>
      <c r="C201" s="1">
        <v>131</v>
      </c>
      <c r="D201" t="s">
        <v>19</v>
      </c>
      <c r="E201" s="1">
        <v>1</v>
      </c>
      <c r="F201" s="1">
        <v>0</v>
      </c>
      <c r="G201" s="1">
        <v>0</v>
      </c>
      <c r="H201">
        <v>0</v>
      </c>
      <c r="I201">
        <v>0</v>
      </c>
      <c r="J201">
        <v>0</v>
      </c>
      <c r="K201">
        <v>0</v>
      </c>
      <c r="S201" t="s">
        <v>4</v>
      </c>
    </row>
    <row r="202" spans="1:19" x14ac:dyDescent="0.25">
      <c r="A202" s="2">
        <v>40002</v>
      </c>
      <c r="B202" s="3">
        <v>0.80972222222222223</v>
      </c>
      <c r="C202" s="1">
        <v>105</v>
      </c>
      <c r="D202" t="s">
        <v>19</v>
      </c>
      <c r="E202" s="1">
        <v>0</v>
      </c>
      <c r="F202" s="1">
        <v>0</v>
      </c>
      <c r="G202" s="1">
        <v>1</v>
      </c>
      <c r="H202">
        <v>0</v>
      </c>
      <c r="I202">
        <v>0</v>
      </c>
      <c r="J202">
        <v>0</v>
      </c>
      <c r="K202">
        <v>0</v>
      </c>
      <c r="S202" t="s">
        <v>6</v>
      </c>
    </row>
    <row r="203" spans="1:19" x14ac:dyDescent="0.25">
      <c r="A203" s="2">
        <v>40003</v>
      </c>
      <c r="B203" s="3">
        <v>0.24583333333333335</v>
      </c>
      <c r="C203" s="1">
        <v>131</v>
      </c>
      <c r="D203" t="s">
        <v>19</v>
      </c>
      <c r="E203" s="1">
        <v>1</v>
      </c>
      <c r="F203" s="1">
        <v>0</v>
      </c>
      <c r="G203" s="1">
        <v>0</v>
      </c>
      <c r="H203">
        <v>0</v>
      </c>
      <c r="I203">
        <v>0</v>
      </c>
      <c r="J203">
        <v>0</v>
      </c>
      <c r="K203">
        <v>0</v>
      </c>
      <c r="S203" t="s">
        <v>4</v>
      </c>
    </row>
    <row r="204" spans="1:19" x14ac:dyDescent="0.25">
      <c r="A204" s="2">
        <v>40003</v>
      </c>
      <c r="B204" s="3">
        <v>0.3298611111111111</v>
      </c>
      <c r="C204" s="1">
        <v>95</v>
      </c>
      <c r="D204" t="s">
        <v>19</v>
      </c>
      <c r="E204" s="1">
        <v>0</v>
      </c>
      <c r="F204" s="1">
        <v>0</v>
      </c>
      <c r="G204" s="1">
        <v>1</v>
      </c>
      <c r="H204">
        <v>0</v>
      </c>
      <c r="I204">
        <v>0</v>
      </c>
      <c r="J204">
        <v>0</v>
      </c>
      <c r="K204">
        <v>0</v>
      </c>
      <c r="S204" t="s">
        <v>6</v>
      </c>
    </row>
    <row r="205" spans="1:19" x14ac:dyDescent="0.25">
      <c r="A205" s="2">
        <v>40003</v>
      </c>
      <c r="B205" s="3">
        <v>0.70694444444444438</v>
      </c>
      <c r="C205" s="1">
        <v>100</v>
      </c>
      <c r="D205" t="s">
        <v>19</v>
      </c>
      <c r="E205" s="1">
        <v>0</v>
      </c>
      <c r="F205" s="1">
        <v>1</v>
      </c>
      <c r="G205" s="1">
        <v>0</v>
      </c>
      <c r="H205">
        <v>0</v>
      </c>
      <c r="I205">
        <v>0</v>
      </c>
      <c r="J205">
        <v>0</v>
      </c>
      <c r="K205">
        <v>0</v>
      </c>
      <c r="S205" t="s">
        <v>20</v>
      </c>
    </row>
    <row r="206" spans="1:19" x14ac:dyDescent="0.25">
      <c r="A206" s="2">
        <v>40004</v>
      </c>
      <c r="B206" s="3">
        <v>0.52638888888888891</v>
      </c>
      <c r="C206" s="1">
        <v>122</v>
      </c>
      <c r="D206" t="s">
        <v>19</v>
      </c>
      <c r="E206" s="1">
        <v>0</v>
      </c>
      <c r="F206" s="1">
        <v>1</v>
      </c>
      <c r="G206" s="1">
        <v>0</v>
      </c>
      <c r="H206">
        <v>0</v>
      </c>
      <c r="I206">
        <v>0</v>
      </c>
      <c r="J206">
        <v>0</v>
      </c>
      <c r="K206">
        <v>0</v>
      </c>
      <c r="S206" t="s">
        <v>20</v>
      </c>
    </row>
    <row r="207" spans="1:19" x14ac:dyDescent="0.25">
      <c r="A207" s="2">
        <v>40005</v>
      </c>
      <c r="B207" s="3">
        <v>0.27499999999999997</v>
      </c>
      <c r="C207" s="1">
        <v>151</v>
      </c>
      <c r="D207" t="s">
        <v>19</v>
      </c>
      <c r="E207" s="1">
        <v>1</v>
      </c>
      <c r="F207" s="1">
        <v>0</v>
      </c>
      <c r="G207" s="1">
        <v>0</v>
      </c>
      <c r="H207">
        <v>0</v>
      </c>
      <c r="I207">
        <v>0</v>
      </c>
      <c r="J207">
        <v>0</v>
      </c>
      <c r="K207">
        <v>0</v>
      </c>
      <c r="S207" t="s">
        <v>4</v>
      </c>
    </row>
    <row r="208" spans="1:19" x14ac:dyDescent="0.25">
      <c r="A208" s="2">
        <v>40006</v>
      </c>
      <c r="B208" s="3">
        <v>0.3833333333333333</v>
      </c>
      <c r="C208" s="1">
        <v>126</v>
      </c>
      <c r="D208" t="s">
        <v>19</v>
      </c>
      <c r="E208" s="1">
        <v>1</v>
      </c>
      <c r="F208" s="1">
        <v>0</v>
      </c>
      <c r="G208" s="1">
        <v>0</v>
      </c>
      <c r="H208">
        <v>0</v>
      </c>
      <c r="I208">
        <v>0</v>
      </c>
      <c r="J208">
        <v>0</v>
      </c>
      <c r="K208">
        <v>0</v>
      </c>
      <c r="S208" t="s">
        <v>4</v>
      </c>
    </row>
    <row r="209" spans="1:19" x14ac:dyDescent="0.25">
      <c r="A209" s="2">
        <v>40006</v>
      </c>
      <c r="B209" s="3">
        <v>0.73055555555555562</v>
      </c>
      <c r="C209" s="1">
        <v>104</v>
      </c>
      <c r="D209" t="s">
        <v>19</v>
      </c>
      <c r="E209" s="1">
        <v>0</v>
      </c>
      <c r="F209" s="1">
        <v>0</v>
      </c>
      <c r="G209" s="1">
        <v>1</v>
      </c>
      <c r="H209">
        <v>0</v>
      </c>
      <c r="I209">
        <v>0</v>
      </c>
      <c r="J209">
        <v>0</v>
      </c>
      <c r="K209">
        <v>0</v>
      </c>
      <c r="S209" t="s">
        <v>6</v>
      </c>
    </row>
    <row r="210" spans="1:19" x14ac:dyDescent="0.25">
      <c r="A210" s="2">
        <v>40007</v>
      </c>
      <c r="B210" s="3">
        <v>0.6694444444444444</v>
      </c>
      <c r="C210" s="1">
        <v>186</v>
      </c>
      <c r="D210" t="s">
        <v>19</v>
      </c>
      <c r="E210" s="1">
        <v>0</v>
      </c>
      <c r="F210" s="1">
        <v>1</v>
      </c>
      <c r="G210" s="1">
        <v>0</v>
      </c>
      <c r="H210">
        <v>0</v>
      </c>
      <c r="I210">
        <v>0</v>
      </c>
      <c r="J210">
        <v>0</v>
      </c>
      <c r="K210">
        <v>0</v>
      </c>
      <c r="S210" t="s">
        <v>20</v>
      </c>
    </row>
    <row r="211" spans="1:19" x14ac:dyDescent="0.25">
      <c r="A211" s="2">
        <v>40008</v>
      </c>
      <c r="B211" s="3">
        <v>0.9</v>
      </c>
      <c r="C211" s="1">
        <v>137</v>
      </c>
      <c r="D211" t="s">
        <v>19</v>
      </c>
      <c r="E211" s="1">
        <v>0</v>
      </c>
      <c r="F211" s="1">
        <v>0</v>
      </c>
      <c r="G211" s="1">
        <v>1</v>
      </c>
      <c r="H211">
        <v>0</v>
      </c>
      <c r="I211">
        <v>0</v>
      </c>
      <c r="J211">
        <v>0</v>
      </c>
      <c r="K211">
        <v>0</v>
      </c>
      <c r="S211" t="s">
        <v>6</v>
      </c>
    </row>
    <row r="212" spans="1:19" x14ac:dyDescent="0.25">
      <c r="A212" s="2">
        <v>40009</v>
      </c>
      <c r="B212" s="3">
        <v>0.14375000000000002</v>
      </c>
      <c r="C212" s="1">
        <v>115</v>
      </c>
      <c r="D212" t="s">
        <v>19</v>
      </c>
      <c r="E212" s="1">
        <v>1</v>
      </c>
      <c r="F212" s="1">
        <v>0</v>
      </c>
      <c r="G212" s="1">
        <v>0</v>
      </c>
      <c r="H212">
        <v>0</v>
      </c>
      <c r="I212">
        <v>0</v>
      </c>
      <c r="J212">
        <v>0</v>
      </c>
      <c r="K212">
        <v>0</v>
      </c>
      <c r="S212" t="s">
        <v>4</v>
      </c>
    </row>
    <row r="213" spans="1:19" x14ac:dyDescent="0.25">
      <c r="A213" s="2">
        <v>40009</v>
      </c>
      <c r="B213" s="3">
        <v>0.61111111111111105</v>
      </c>
      <c r="C213" s="1">
        <v>102</v>
      </c>
      <c r="D213" t="s">
        <v>19</v>
      </c>
      <c r="E213" s="1">
        <v>0</v>
      </c>
      <c r="F213" s="1">
        <v>1</v>
      </c>
      <c r="G213" s="1">
        <v>0</v>
      </c>
      <c r="H213">
        <v>0</v>
      </c>
      <c r="I213">
        <v>0</v>
      </c>
      <c r="J213">
        <v>0</v>
      </c>
      <c r="K213">
        <v>0</v>
      </c>
      <c r="S213" t="s">
        <v>20</v>
      </c>
    </row>
    <row r="214" spans="1:19" x14ac:dyDescent="0.25">
      <c r="A214" s="2">
        <v>40010</v>
      </c>
      <c r="B214" s="3">
        <v>0.28680555555555554</v>
      </c>
      <c r="C214" s="1">
        <v>118</v>
      </c>
      <c r="D214" t="s">
        <v>19</v>
      </c>
      <c r="E214" s="1">
        <v>1</v>
      </c>
      <c r="F214" s="1">
        <v>0</v>
      </c>
      <c r="G214" s="1">
        <v>0</v>
      </c>
      <c r="H214">
        <v>0</v>
      </c>
      <c r="I214">
        <v>0</v>
      </c>
      <c r="J214">
        <v>0</v>
      </c>
      <c r="K214">
        <v>0</v>
      </c>
      <c r="S214" t="s">
        <v>4</v>
      </c>
    </row>
    <row r="215" spans="1:19" x14ac:dyDescent="0.25">
      <c r="A215" s="2">
        <v>40011</v>
      </c>
      <c r="B215" s="3">
        <v>0.28750000000000003</v>
      </c>
      <c r="C215" s="1">
        <v>115</v>
      </c>
      <c r="D215" t="s">
        <v>19</v>
      </c>
      <c r="E215" s="1">
        <v>1</v>
      </c>
      <c r="F215" s="1">
        <v>0</v>
      </c>
      <c r="G215" s="1">
        <v>0</v>
      </c>
      <c r="H215">
        <v>0</v>
      </c>
      <c r="I215">
        <v>0</v>
      </c>
      <c r="J215">
        <v>0</v>
      </c>
      <c r="K215">
        <v>0</v>
      </c>
      <c r="S215" t="s">
        <v>4</v>
      </c>
    </row>
    <row r="216" spans="1:19" x14ac:dyDescent="0.25">
      <c r="A216" s="2">
        <v>40011</v>
      </c>
      <c r="B216" s="3">
        <v>0.50972222222222219</v>
      </c>
      <c r="C216" s="1">
        <v>116</v>
      </c>
      <c r="D216" t="s">
        <v>19</v>
      </c>
      <c r="E216" s="1">
        <v>0</v>
      </c>
      <c r="F216" s="1">
        <v>1</v>
      </c>
      <c r="G216" s="1">
        <v>0</v>
      </c>
      <c r="H216">
        <v>0</v>
      </c>
      <c r="I216">
        <v>0</v>
      </c>
      <c r="J216">
        <v>0</v>
      </c>
      <c r="K216">
        <v>0</v>
      </c>
      <c r="S216" t="s">
        <v>20</v>
      </c>
    </row>
    <row r="217" spans="1:19" x14ac:dyDescent="0.25">
      <c r="A217" s="2">
        <v>40011</v>
      </c>
      <c r="B217" s="3">
        <v>0.86111111111111116</v>
      </c>
      <c r="C217" s="1">
        <v>109</v>
      </c>
      <c r="D217" t="s">
        <v>19</v>
      </c>
      <c r="E217" s="1">
        <v>0</v>
      </c>
      <c r="F217" s="1">
        <v>0</v>
      </c>
      <c r="G217" s="1">
        <v>1</v>
      </c>
      <c r="H217">
        <v>0</v>
      </c>
      <c r="I217">
        <v>0</v>
      </c>
      <c r="J217">
        <v>0</v>
      </c>
      <c r="K217">
        <v>0</v>
      </c>
      <c r="S217" t="s">
        <v>6</v>
      </c>
    </row>
    <row r="218" spans="1:19" x14ac:dyDescent="0.25">
      <c r="A218" s="2">
        <v>40012</v>
      </c>
      <c r="B218" s="3">
        <v>0.27847222222222223</v>
      </c>
      <c r="C218" s="1">
        <v>214</v>
      </c>
      <c r="D218" t="s">
        <v>19</v>
      </c>
      <c r="E218" s="1">
        <v>1</v>
      </c>
      <c r="F218" s="1">
        <v>0</v>
      </c>
      <c r="G218" s="1">
        <v>0</v>
      </c>
      <c r="H218">
        <v>0</v>
      </c>
      <c r="I218">
        <v>0</v>
      </c>
      <c r="J218">
        <v>0</v>
      </c>
      <c r="K218">
        <v>0</v>
      </c>
      <c r="S218" t="s">
        <v>4</v>
      </c>
    </row>
    <row r="219" spans="1:19" x14ac:dyDescent="0.25">
      <c r="A219" s="2">
        <v>40013</v>
      </c>
      <c r="B219" s="3">
        <v>0.2673611111111111</v>
      </c>
      <c r="C219" s="1">
        <v>134</v>
      </c>
      <c r="D219" t="s">
        <v>19</v>
      </c>
      <c r="E219" s="1">
        <v>1</v>
      </c>
      <c r="F219" s="1">
        <v>0</v>
      </c>
      <c r="G219" s="1">
        <v>0</v>
      </c>
      <c r="H219">
        <v>0</v>
      </c>
      <c r="I219">
        <v>0</v>
      </c>
      <c r="J219">
        <v>0</v>
      </c>
      <c r="K219">
        <v>0</v>
      </c>
      <c r="S219" t="s">
        <v>4</v>
      </c>
    </row>
    <row r="220" spans="1:19" x14ac:dyDescent="0.25">
      <c r="A220" s="2">
        <v>40013</v>
      </c>
      <c r="B220" s="3">
        <v>0.3</v>
      </c>
      <c r="C220" s="1">
        <v>134</v>
      </c>
      <c r="D220" t="s">
        <v>19</v>
      </c>
      <c r="E220" s="1">
        <v>0</v>
      </c>
      <c r="F220" s="1">
        <v>0</v>
      </c>
      <c r="G220" s="1">
        <v>1</v>
      </c>
      <c r="H220">
        <v>0</v>
      </c>
      <c r="I220">
        <v>0</v>
      </c>
      <c r="J220">
        <v>0</v>
      </c>
      <c r="K220">
        <v>0</v>
      </c>
      <c r="S220" t="s">
        <v>6</v>
      </c>
    </row>
    <row r="221" spans="1:19" x14ac:dyDescent="0.25">
      <c r="A221" s="2">
        <v>40014</v>
      </c>
      <c r="B221" s="3">
        <v>0.22083333333333333</v>
      </c>
      <c r="C221" s="1">
        <v>118</v>
      </c>
      <c r="D221" t="s">
        <v>19</v>
      </c>
      <c r="E221" s="1">
        <v>1</v>
      </c>
      <c r="F221" s="1">
        <v>0</v>
      </c>
      <c r="G221" s="1">
        <v>0</v>
      </c>
      <c r="H221">
        <v>0</v>
      </c>
      <c r="I221">
        <v>0</v>
      </c>
      <c r="J221">
        <v>0</v>
      </c>
      <c r="K221">
        <v>0</v>
      </c>
      <c r="S221" t="s">
        <v>4</v>
      </c>
    </row>
    <row r="222" spans="1:19" x14ac:dyDescent="0.25">
      <c r="A222" s="2">
        <v>40014</v>
      </c>
      <c r="B222" s="3">
        <v>0.61805555555555558</v>
      </c>
      <c r="C222" s="1">
        <v>104</v>
      </c>
      <c r="D222" t="s">
        <v>19</v>
      </c>
      <c r="E222" s="1">
        <v>0</v>
      </c>
      <c r="F222" s="1">
        <v>1</v>
      </c>
      <c r="G222" s="1">
        <v>0</v>
      </c>
      <c r="H222">
        <v>0</v>
      </c>
      <c r="I222">
        <v>0</v>
      </c>
      <c r="J222">
        <v>0</v>
      </c>
      <c r="K222">
        <v>0</v>
      </c>
      <c r="S222" t="s">
        <v>20</v>
      </c>
    </row>
    <row r="223" spans="1:19" x14ac:dyDescent="0.25">
      <c r="A223" s="2">
        <v>40015</v>
      </c>
      <c r="B223" s="3">
        <v>0.24583333333333335</v>
      </c>
      <c r="C223" s="1">
        <v>119</v>
      </c>
      <c r="D223" t="s">
        <v>19</v>
      </c>
      <c r="E223" s="1">
        <v>1</v>
      </c>
      <c r="F223" s="1">
        <v>0</v>
      </c>
      <c r="G223" s="1">
        <v>0</v>
      </c>
      <c r="H223">
        <v>0</v>
      </c>
      <c r="I223">
        <v>0</v>
      </c>
      <c r="J223">
        <v>0</v>
      </c>
      <c r="K223">
        <v>0</v>
      </c>
      <c r="S223" t="s">
        <v>4</v>
      </c>
    </row>
    <row r="224" spans="1:19" x14ac:dyDescent="0.25">
      <c r="A224" s="2">
        <v>40015</v>
      </c>
      <c r="B224" s="3">
        <v>0.46111111111111108</v>
      </c>
      <c r="C224" s="1">
        <v>124</v>
      </c>
      <c r="D224" t="s">
        <v>19</v>
      </c>
      <c r="E224" s="1">
        <v>0</v>
      </c>
      <c r="F224" s="1">
        <v>1</v>
      </c>
      <c r="G224" s="1">
        <v>0</v>
      </c>
      <c r="H224">
        <v>0</v>
      </c>
      <c r="I224">
        <v>0</v>
      </c>
      <c r="J224">
        <v>0</v>
      </c>
      <c r="K224">
        <v>0</v>
      </c>
      <c r="S224" t="s">
        <v>20</v>
      </c>
    </row>
    <row r="225" spans="1:19" x14ac:dyDescent="0.25">
      <c r="A225" s="2">
        <v>40015</v>
      </c>
      <c r="B225" s="3">
        <v>0.4826388888888889</v>
      </c>
      <c r="C225" s="1">
        <v>132</v>
      </c>
      <c r="D225" t="s">
        <v>19</v>
      </c>
      <c r="E225" s="1">
        <v>0</v>
      </c>
      <c r="F225" s="1">
        <v>0</v>
      </c>
      <c r="G225" s="1">
        <v>1</v>
      </c>
      <c r="H225">
        <v>0</v>
      </c>
      <c r="I225">
        <v>0</v>
      </c>
      <c r="J225">
        <v>0</v>
      </c>
      <c r="K225">
        <v>0</v>
      </c>
      <c r="S225" t="s">
        <v>6</v>
      </c>
    </row>
    <row r="226" spans="1:19" x14ac:dyDescent="0.25">
      <c r="A226" s="2">
        <v>40015</v>
      </c>
      <c r="B226" s="3">
        <v>0.61111111111111105</v>
      </c>
      <c r="C226" s="1">
        <v>136</v>
      </c>
      <c r="D226" t="s">
        <v>19</v>
      </c>
      <c r="E226" s="1">
        <v>0</v>
      </c>
      <c r="F226" s="1">
        <v>0</v>
      </c>
      <c r="G226" s="1">
        <v>1</v>
      </c>
      <c r="H226">
        <v>0</v>
      </c>
      <c r="I226">
        <v>0</v>
      </c>
      <c r="J226">
        <v>0</v>
      </c>
      <c r="K226">
        <v>0</v>
      </c>
      <c r="S226" t="s">
        <v>6</v>
      </c>
    </row>
    <row r="227" spans="1:19" x14ac:dyDescent="0.25">
      <c r="A227" s="2">
        <v>40016</v>
      </c>
      <c r="B227" s="3">
        <v>0.29097222222222224</v>
      </c>
      <c r="C227" s="1">
        <v>161</v>
      </c>
      <c r="D227" t="s">
        <v>19</v>
      </c>
      <c r="E227" s="1">
        <v>0</v>
      </c>
      <c r="F227" s="1">
        <v>0</v>
      </c>
      <c r="G227" s="1">
        <v>1</v>
      </c>
      <c r="H227">
        <v>0</v>
      </c>
      <c r="I227">
        <v>0</v>
      </c>
      <c r="J227">
        <v>0</v>
      </c>
      <c r="K227">
        <v>0</v>
      </c>
      <c r="S227" t="s">
        <v>6</v>
      </c>
    </row>
    <row r="228" spans="1:19" x14ac:dyDescent="0.25">
      <c r="A228" s="2">
        <v>40018</v>
      </c>
      <c r="B228" s="3">
        <v>0.28541666666666665</v>
      </c>
      <c r="C228" s="1">
        <v>120</v>
      </c>
      <c r="D228" t="s">
        <v>19</v>
      </c>
      <c r="E228" s="1">
        <v>1</v>
      </c>
      <c r="F228" s="1">
        <v>0</v>
      </c>
      <c r="G228" s="1">
        <v>0</v>
      </c>
      <c r="H228">
        <v>0</v>
      </c>
      <c r="I228">
        <v>0</v>
      </c>
      <c r="J228">
        <v>0</v>
      </c>
      <c r="K228">
        <v>0</v>
      </c>
      <c r="S228" t="s">
        <v>4</v>
      </c>
    </row>
    <row r="229" spans="1:19" x14ac:dyDescent="0.25">
      <c r="A229" s="2">
        <v>40019</v>
      </c>
      <c r="B229" s="3">
        <v>0.24305555555555555</v>
      </c>
      <c r="C229" s="1">
        <v>128</v>
      </c>
      <c r="D229" t="s">
        <v>19</v>
      </c>
      <c r="E229" s="1">
        <v>1</v>
      </c>
      <c r="F229" s="1">
        <v>0</v>
      </c>
      <c r="G229" s="1">
        <v>0</v>
      </c>
      <c r="H229">
        <v>0</v>
      </c>
      <c r="I229">
        <v>0</v>
      </c>
      <c r="J229">
        <v>0</v>
      </c>
      <c r="K229">
        <v>0</v>
      </c>
      <c r="S229" t="s">
        <v>4</v>
      </c>
    </row>
    <row r="230" spans="1:19" x14ac:dyDescent="0.25">
      <c r="A230" s="2">
        <v>40019</v>
      </c>
      <c r="B230" s="3">
        <v>0.54305555555555551</v>
      </c>
      <c r="C230" s="1">
        <v>100</v>
      </c>
      <c r="D230" t="s">
        <v>19</v>
      </c>
      <c r="E230" s="1">
        <v>0</v>
      </c>
      <c r="F230" s="1">
        <v>0</v>
      </c>
      <c r="G230" s="1">
        <v>1</v>
      </c>
      <c r="H230">
        <v>0</v>
      </c>
      <c r="I230">
        <v>0</v>
      </c>
      <c r="J230">
        <v>0</v>
      </c>
      <c r="K230">
        <v>0</v>
      </c>
      <c r="S230" t="s">
        <v>6</v>
      </c>
    </row>
    <row r="231" spans="1:19" x14ac:dyDescent="0.25">
      <c r="A231" s="2">
        <v>40020</v>
      </c>
      <c r="B231" s="3">
        <v>0.27777777777777779</v>
      </c>
      <c r="C231" s="1">
        <v>117</v>
      </c>
      <c r="D231" t="s">
        <v>19</v>
      </c>
      <c r="E231" s="1">
        <v>1</v>
      </c>
      <c r="F231" s="1">
        <v>0</v>
      </c>
      <c r="G231" s="1">
        <v>0</v>
      </c>
      <c r="H231">
        <v>0</v>
      </c>
      <c r="I231">
        <v>0</v>
      </c>
      <c r="J231">
        <v>0</v>
      </c>
      <c r="K231">
        <v>0</v>
      </c>
      <c r="S231" t="s">
        <v>4</v>
      </c>
    </row>
    <row r="232" spans="1:19" x14ac:dyDescent="0.25">
      <c r="A232" s="2">
        <v>40020</v>
      </c>
      <c r="B232" s="3">
        <v>0.56666666666666665</v>
      </c>
      <c r="C232" s="1">
        <v>96</v>
      </c>
      <c r="D232" t="s">
        <v>19</v>
      </c>
      <c r="E232" s="1">
        <v>0</v>
      </c>
      <c r="F232" s="1">
        <v>0</v>
      </c>
      <c r="G232" s="1">
        <v>1</v>
      </c>
      <c r="H232">
        <v>0</v>
      </c>
      <c r="I232">
        <v>0</v>
      </c>
      <c r="J232">
        <v>0</v>
      </c>
      <c r="K232">
        <v>0</v>
      </c>
      <c r="S232" t="s">
        <v>6</v>
      </c>
    </row>
    <row r="233" spans="1:19" x14ac:dyDescent="0.25">
      <c r="A233" s="2">
        <v>40021</v>
      </c>
      <c r="B233" s="3">
        <v>0.30833333333333335</v>
      </c>
      <c r="C233" s="1">
        <v>110</v>
      </c>
      <c r="D233" t="s">
        <v>19</v>
      </c>
      <c r="E233" s="1">
        <v>0</v>
      </c>
      <c r="F233" s="1">
        <v>0</v>
      </c>
      <c r="G233" s="1">
        <v>1</v>
      </c>
      <c r="H233">
        <v>0</v>
      </c>
      <c r="I233">
        <v>0</v>
      </c>
      <c r="J233">
        <v>0</v>
      </c>
      <c r="K233">
        <v>0</v>
      </c>
      <c r="S233" t="s">
        <v>6</v>
      </c>
    </row>
    <row r="234" spans="1:19" x14ac:dyDescent="0.25">
      <c r="A234" s="2">
        <v>40021</v>
      </c>
      <c r="B234" s="3">
        <v>0.3659722222222222</v>
      </c>
      <c r="C234" s="1">
        <v>94</v>
      </c>
      <c r="D234" t="s">
        <v>19</v>
      </c>
      <c r="E234" s="1">
        <v>0</v>
      </c>
      <c r="F234" s="1">
        <v>1</v>
      </c>
      <c r="G234" s="1">
        <v>0</v>
      </c>
      <c r="H234">
        <v>0</v>
      </c>
      <c r="I234">
        <v>0</v>
      </c>
      <c r="J234">
        <v>0</v>
      </c>
      <c r="K234">
        <v>0</v>
      </c>
      <c r="S234" t="s">
        <v>20</v>
      </c>
    </row>
    <row r="235" spans="1:19" x14ac:dyDescent="0.25">
      <c r="A235" s="2">
        <v>40022</v>
      </c>
      <c r="B235" s="3">
        <v>0.32222222222222224</v>
      </c>
      <c r="C235" s="1">
        <v>80</v>
      </c>
      <c r="D235" t="s">
        <v>19</v>
      </c>
      <c r="E235" s="1">
        <v>0</v>
      </c>
      <c r="F235" s="1">
        <v>0</v>
      </c>
      <c r="G235" s="1">
        <v>1</v>
      </c>
      <c r="H235">
        <v>0</v>
      </c>
      <c r="I235">
        <v>0</v>
      </c>
      <c r="J235">
        <v>0</v>
      </c>
      <c r="K235">
        <v>0</v>
      </c>
      <c r="S235" t="s">
        <v>6</v>
      </c>
    </row>
    <row r="236" spans="1:19" x14ac:dyDescent="0.25">
      <c r="A236" s="2">
        <v>40023</v>
      </c>
      <c r="B236" s="3">
        <v>0.22500000000000001</v>
      </c>
      <c r="C236" s="1">
        <v>115</v>
      </c>
      <c r="D236" t="s">
        <v>19</v>
      </c>
      <c r="E236" s="1">
        <v>1</v>
      </c>
      <c r="F236" s="1">
        <v>0</v>
      </c>
      <c r="G236" s="1">
        <v>0</v>
      </c>
      <c r="H236">
        <v>0</v>
      </c>
      <c r="I236">
        <v>0</v>
      </c>
      <c r="J236">
        <v>0</v>
      </c>
      <c r="K236">
        <v>0</v>
      </c>
      <c r="S236" t="s">
        <v>4</v>
      </c>
    </row>
    <row r="237" spans="1:19" x14ac:dyDescent="0.25">
      <c r="A237" s="2">
        <v>40024</v>
      </c>
      <c r="B237" s="3">
        <v>0.3125</v>
      </c>
      <c r="C237" s="1">
        <v>119</v>
      </c>
      <c r="D237" t="s">
        <v>19</v>
      </c>
      <c r="E237" s="1">
        <v>0</v>
      </c>
      <c r="F237" s="1">
        <v>0</v>
      </c>
      <c r="G237" s="1">
        <v>1</v>
      </c>
      <c r="H237">
        <v>0</v>
      </c>
      <c r="I237">
        <v>0</v>
      </c>
      <c r="J237">
        <v>0</v>
      </c>
      <c r="K237">
        <v>0</v>
      </c>
      <c r="S237" t="s">
        <v>6</v>
      </c>
    </row>
    <row r="238" spans="1:19" x14ac:dyDescent="0.25">
      <c r="A238" s="2">
        <v>40025</v>
      </c>
      <c r="B238" s="3">
        <v>0.39652777777777781</v>
      </c>
      <c r="C238" s="1">
        <v>86</v>
      </c>
      <c r="D238" t="s">
        <v>19</v>
      </c>
      <c r="E238" s="1">
        <v>0</v>
      </c>
      <c r="F238" s="1">
        <v>0</v>
      </c>
      <c r="G238" s="1">
        <v>1</v>
      </c>
      <c r="H238">
        <v>0</v>
      </c>
      <c r="I238">
        <v>0</v>
      </c>
      <c r="J238">
        <v>0</v>
      </c>
      <c r="K238">
        <v>0</v>
      </c>
      <c r="S238" t="s">
        <v>6</v>
      </c>
    </row>
    <row r="239" spans="1:19" x14ac:dyDescent="0.25">
      <c r="A239" s="2">
        <v>40026</v>
      </c>
      <c r="B239" s="3">
        <v>0.3833333333333333</v>
      </c>
      <c r="C239" s="1">
        <v>138</v>
      </c>
      <c r="D239" t="s">
        <v>19</v>
      </c>
      <c r="E239" s="1">
        <v>0</v>
      </c>
      <c r="F239" s="1">
        <v>0</v>
      </c>
      <c r="G239" s="1">
        <v>1</v>
      </c>
      <c r="H239">
        <v>0</v>
      </c>
      <c r="I239">
        <v>0</v>
      </c>
      <c r="J239">
        <v>0</v>
      </c>
      <c r="K239">
        <v>0</v>
      </c>
      <c r="S239" t="s">
        <v>6</v>
      </c>
    </row>
    <row r="240" spans="1:19" x14ac:dyDescent="0.25">
      <c r="A240" s="2">
        <v>40026</v>
      </c>
      <c r="B240" s="3">
        <v>0.52500000000000002</v>
      </c>
      <c r="C240" s="1">
        <v>183</v>
      </c>
      <c r="D240" t="s">
        <v>19</v>
      </c>
      <c r="E240" s="1">
        <v>0</v>
      </c>
      <c r="F240" s="1">
        <v>0</v>
      </c>
      <c r="G240" s="1">
        <v>1</v>
      </c>
      <c r="H240">
        <v>0</v>
      </c>
      <c r="I240">
        <v>0</v>
      </c>
      <c r="J240">
        <v>0</v>
      </c>
      <c r="K240">
        <v>0</v>
      </c>
      <c r="S240" t="s">
        <v>6</v>
      </c>
    </row>
    <row r="241" spans="1:19" x14ac:dyDescent="0.25">
      <c r="A241" s="2">
        <v>40027</v>
      </c>
      <c r="B241" s="3">
        <v>0.35347222222222219</v>
      </c>
      <c r="C241" s="1">
        <v>116</v>
      </c>
      <c r="D241" t="s">
        <v>19</v>
      </c>
      <c r="E241" s="1">
        <v>0</v>
      </c>
      <c r="F241" s="1">
        <v>0</v>
      </c>
      <c r="G241" s="1">
        <v>1</v>
      </c>
      <c r="H241">
        <v>0</v>
      </c>
      <c r="I241">
        <v>0</v>
      </c>
      <c r="J241">
        <v>0</v>
      </c>
      <c r="K241">
        <v>0</v>
      </c>
      <c r="S241" t="s">
        <v>6</v>
      </c>
    </row>
    <row r="242" spans="1:19" x14ac:dyDescent="0.25">
      <c r="A242" s="2">
        <v>40027</v>
      </c>
      <c r="B242" s="3">
        <v>0.85555555555555562</v>
      </c>
      <c r="C242" s="1">
        <v>121</v>
      </c>
      <c r="D242" t="s">
        <v>19</v>
      </c>
      <c r="E242" s="1">
        <v>0</v>
      </c>
      <c r="F242" s="1">
        <v>0</v>
      </c>
      <c r="G242" s="1">
        <v>1</v>
      </c>
      <c r="H242">
        <v>0</v>
      </c>
      <c r="I242">
        <v>0</v>
      </c>
      <c r="J242">
        <v>0</v>
      </c>
      <c r="K242">
        <v>0</v>
      </c>
      <c r="S242" t="s">
        <v>6</v>
      </c>
    </row>
    <row r="243" spans="1:19" x14ac:dyDescent="0.25">
      <c r="A243" s="2">
        <v>40028</v>
      </c>
      <c r="B243" s="3">
        <v>0.25208333333333333</v>
      </c>
      <c r="C243" s="1">
        <v>181</v>
      </c>
      <c r="D243" t="s">
        <v>19</v>
      </c>
      <c r="E243" s="1">
        <v>1</v>
      </c>
      <c r="F243" s="1">
        <v>0</v>
      </c>
      <c r="G243" s="1">
        <v>0</v>
      </c>
      <c r="H243">
        <v>0</v>
      </c>
      <c r="I243">
        <v>0</v>
      </c>
      <c r="J243">
        <v>0</v>
      </c>
      <c r="K243">
        <v>0</v>
      </c>
      <c r="S243" t="s">
        <v>4</v>
      </c>
    </row>
    <row r="244" spans="1:19" x14ac:dyDescent="0.25">
      <c r="A244" s="2">
        <v>40030</v>
      </c>
      <c r="B244" s="3">
        <v>0.33958333333333335</v>
      </c>
      <c r="C244" s="1">
        <v>148</v>
      </c>
      <c r="D244" t="s">
        <v>19</v>
      </c>
      <c r="E244" s="1">
        <v>1</v>
      </c>
      <c r="F244" s="1">
        <v>0</v>
      </c>
      <c r="G244" s="1">
        <v>0</v>
      </c>
      <c r="H244">
        <v>0</v>
      </c>
      <c r="I244">
        <v>0</v>
      </c>
      <c r="J244">
        <v>0</v>
      </c>
      <c r="K244">
        <v>0</v>
      </c>
      <c r="S244" t="s">
        <v>4</v>
      </c>
    </row>
    <row r="245" spans="1:19" x14ac:dyDescent="0.25">
      <c r="A245" s="2">
        <v>40030</v>
      </c>
      <c r="B245" s="3">
        <v>0.49861111111111112</v>
      </c>
      <c r="C245" s="1">
        <v>131</v>
      </c>
      <c r="D245" t="s">
        <v>19</v>
      </c>
      <c r="E245" s="1">
        <v>0</v>
      </c>
      <c r="F245" s="1">
        <v>0</v>
      </c>
      <c r="G245" s="1">
        <v>1</v>
      </c>
      <c r="H245">
        <v>0</v>
      </c>
      <c r="I245">
        <v>0</v>
      </c>
      <c r="J245">
        <v>0</v>
      </c>
      <c r="K245">
        <v>0</v>
      </c>
      <c r="S245" t="s">
        <v>6</v>
      </c>
    </row>
    <row r="246" spans="1:19" x14ac:dyDescent="0.25">
      <c r="A246" s="2">
        <v>40031</v>
      </c>
      <c r="B246" s="3">
        <v>0.33402777777777781</v>
      </c>
      <c r="C246" s="1">
        <v>117</v>
      </c>
      <c r="D246" t="s">
        <v>19</v>
      </c>
      <c r="E246" s="1">
        <v>0</v>
      </c>
      <c r="F246" s="1">
        <v>0</v>
      </c>
      <c r="G246" s="1">
        <v>1</v>
      </c>
      <c r="H246">
        <v>0</v>
      </c>
      <c r="I246">
        <v>0</v>
      </c>
      <c r="J246">
        <v>0</v>
      </c>
      <c r="K246">
        <v>0</v>
      </c>
      <c r="S246" t="s">
        <v>6</v>
      </c>
    </row>
    <row r="247" spans="1:19" x14ac:dyDescent="0.25">
      <c r="A247" s="2">
        <v>40031</v>
      </c>
      <c r="B247" s="3">
        <v>0.53541666666666665</v>
      </c>
      <c r="C247" s="1">
        <v>124</v>
      </c>
      <c r="D247" t="s">
        <v>19</v>
      </c>
      <c r="E247" s="1">
        <v>0</v>
      </c>
      <c r="F247" s="1">
        <v>0</v>
      </c>
      <c r="G247" s="1">
        <v>1</v>
      </c>
      <c r="H247">
        <v>0</v>
      </c>
      <c r="I247">
        <v>0</v>
      </c>
      <c r="J247">
        <v>0</v>
      </c>
      <c r="K247">
        <v>0</v>
      </c>
      <c r="S247" t="s">
        <v>6</v>
      </c>
    </row>
    <row r="248" spans="1:19" x14ac:dyDescent="0.25">
      <c r="A248" s="2">
        <v>40032</v>
      </c>
      <c r="B248" s="3">
        <v>0.24374999999999999</v>
      </c>
      <c r="C248" s="1">
        <v>127</v>
      </c>
      <c r="D248" t="s">
        <v>19</v>
      </c>
      <c r="E248" s="1">
        <v>1</v>
      </c>
      <c r="F248" s="1">
        <v>0</v>
      </c>
      <c r="G248" s="1">
        <v>0</v>
      </c>
      <c r="H248">
        <v>0</v>
      </c>
      <c r="I248">
        <v>0</v>
      </c>
      <c r="J248">
        <v>0</v>
      </c>
      <c r="K248">
        <v>0</v>
      </c>
      <c r="S248" t="s">
        <v>4</v>
      </c>
    </row>
    <row r="249" spans="1:19" x14ac:dyDescent="0.25">
      <c r="A249" s="2">
        <v>40033</v>
      </c>
      <c r="B249" s="3">
        <v>0.50624999999999998</v>
      </c>
      <c r="C249" s="1">
        <v>108</v>
      </c>
      <c r="D249" t="s">
        <v>19</v>
      </c>
      <c r="E249" s="1">
        <v>1</v>
      </c>
      <c r="F249" s="1">
        <v>0</v>
      </c>
      <c r="G249" s="1">
        <v>0</v>
      </c>
      <c r="H249">
        <v>0</v>
      </c>
      <c r="I249">
        <v>0</v>
      </c>
      <c r="J249">
        <v>0</v>
      </c>
      <c r="K249">
        <v>0</v>
      </c>
      <c r="S249" t="s">
        <v>4</v>
      </c>
    </row>
    <row r="250" spans="1:19" x14ac:dyDescent="0.25">
      <c r="A250" s="2">
        <v>40034</v>
      </c>
      <c r="B250" s="3">
        <v>0.27430555555555552</v>
      </c>
      <c r="C250" s="1">
        <v>130</v>
      </c>
      <c r="D250" t="s">
        <v>19</v>
      </c>
      <c r="E250" s="1">
        <v>1</v>
      </c>
      <c r="F250" s="1">
        <v>0</v>
      </c>
      <c r="G250" s="1">
        <v>0</v>
      </c>
      <c r="H250">
        <v>0</v>
      </c>
      <c r="I250">
        <v>0</v>
      </c>
      <c r="J250">
        <v>0</v>
      </c>
      <c r="K250">
        <v>0</v>
      </c>
      <c r="S250" t="s">
        <v>4</v>
      </c>
    </row>
    <row r="251" spans="1:19" x14ac:dyDescent="0.25">
      <c r="A251" s="2">
        <v>40034</v>
      </c>
      <c r="B251" s="3">
        <v>0.41875000000000001</v>
      </c>
      <c r="C251" s="1">
        <v>119</v>
      </c>
      <c r="D251" t="s">
        <v>19</v>
      </c>
      <c r="E251" s="1">
        <v>0</v>
      </c>
      <c r="F251" s="1">
        <v>1</v>
      </c>
      <c r="G251" s="1">
        <v>0</v>
      </c>
      <c r="H251">
        <v>0</v>
      </c>
      <c r="I251">
        <v>0</v>
      </c>
      <c r="J251">
        <v>0</v>
      </c>
      <c r="K251">
        <v>0</v>
      </c>
      <c r="S251" t="s">
        <v>20</v>
      </c>
    </row>
    <row r="252" spans="1:19" x14ac:dyDescent="0.25">
      <c r="A252" s="2">
        <v>40035</v>
      </c>
      <c r="B252" s="3">
        <v>0.26527777777777778</v>
      </c>
      <c r="C252" s="1">
        <v>130</v>
      </c>
      <c r="D252" t="s">
        <v>19</v>
      </c>
      <c r="E252" s="1">
        <v>1</v>
      </c>
      <c r="F252" s="1">
        <v>0</v>
      </c>
      <c r="G252" s="1">
        <v>0</v>
      </c>
      <c r="H252">
        <v>0</v>
      </c>
      <c r="I252">
        <v>0</v>
      </c>
      <c r="J252">
        <v>0</v>
      </c>
      <c r="K252">
        <v>0</v>
      </c>
      <c r="S252" t="s">
        <v>4</v>
      </c>
    </row>
    <row r="253" spans="1:19" x14ac:dyDescent="0.25">
      <c r="A253" s="2">
        <v>40035</v>
      </c>
      <c r="B253" s="3">
        <v>0.30624999999999997</v>
      </c>
      <c r="C253" s="1">
        <v>108</v>
      </c>
      <c r="D253" t="s">
        <v>19</v>
      </c>
      <c r="E253" s="1">
        <v>0</v>
      </c>
      <c r="F253" s="1">
        <v>1</v>
      </c>
      <c r="G253" s="1">
        <v>0</v>
      </c>
      <c r="H253">
        <v>0</v>
      </c>
      <c r="I253">
        <v>0</v>
      </c>
      <c r="J253">
        <v>0</v>
      </c>
      <c r="K253">
        <v>0</v>
      </c>
      <c r="S253" t="s">
        <v>20</v>
      </c>
    </row>
    <row r="254" spans="1:19" x14ac:dyDescent="0.25">
      <c r="A254" s="2">
        <v>40036</v>
      </c>
      <c r="B254" s="3">
        <v>0.24236111111111111</v>
      </c>
      <c r="C254" s="1">
        <v>115</v>
      </c>
      <c r="D254" t="s">
        <v>19</v>
      </c>
      <c r="E254" s="1">
        <v>1</v>
      </c>
      <c r="F254" s="1">
        <v>0</v>
      </c>
      <c r="G254" s="1">
        <v>0</v>
      </c>
      <c r="H254">
        <v>0</v>
      </c>
      <c r="I254">
        <v>0</v>
      </c>
      <c r="J254">
        <v>0</v>
      </c>
      <c r="K254">
        <v>0</v>
      </c>
      <c r="S254" t="s">
        <v>4</v>
      </c>
    </row>
    <row r="255" spans="1:19" x14ac:dyDescent="0.25">
      <c r="A255" s="2">
        <v>40037</v>
      </c>
      <c r="B255" s="3">
        <v>0.38611111111111113</v>
      </c>
      <c r="C255" s="1">
        <v>109</v>
      </c>
      <c r="D255" t="s">
        <v>19</v>
      </c>
      <c r="E255" s="1">
        <v>0</v>
      </c>
      <c r="F255" s="1">
        <v>0</v>
      </c>
      <c r="G255" s="1">
        <v>1</v>
      </c>
      <c r="H255">
        <v>0</v>
      </c>
      <c r="I255">
        <v>0</v>
      </c>
      <c r="J255">
        <v>0</v>
      </c>
      <c r="K255">
        <v>0</v>
      </c>
      <c r="S255" t="s">
        <v>6</v>
      </c>
    </row>
    <row r="256" spans="1:19" x14ac:dyDescent="0.25">
      <c r="A256" s="2">
        <v>40037</v>
      </c>
      <c r="B256" s="3">
        <v>0.63611111111111118</v>
      </c>
      <c r="C256" s="1">
        <v>111</v>
      </c>
      <c r="D256" t="s">
        <v>19</v>
      </c>
      <c r="E256" s="1">
        <v>0</v>
      </c>
      <c r="F256" s="1">
        <v>0</v>
      </c>
      <c r="G256" s="1">
        <v>1</v>
      </c>
      <c r="H256">
        <v>0</v>
      </c>
      <c r="I256">
        <v>0</v>
      </c>
      <c r="J256">
        <v>0</v>
      </c>
      <c r="K256">
        <v>0</v>
      </c>
      <c r="S256" t="s">
        <v>6</v>
      </c>
    </row>
    <row r="257" spans="1:19" x14ac:dyDescent="0.25">
      <c r="A257" s="2">
        <v>40038</v>
      </c>
      <c r="B257" s="3">
        <v>0.31458333333333333</v>
      </c>
      <c r="C257" s="1">
        <v>112</v>
      </c>
      <c r="D257" t="s">
        <v>19</v>
      </c>
      <c r="E257" s="1">
        <v>1</v>
      </c>
      <c r="F257" s="1">
        <v>0</v>
      </c>
      <c r="G257" s="1">
        <v>0</v>
      </c>
      <c r="H257">
        <v>0</v>
      </c>
      <c r="I257">
        <v>0</v>
      </c>
      <c r="J257">
        <v>0</v>
      </c>
      <c r="K257">
        <v>0</v>
      </c>
      <c r="S257" t="s">
        <v>4</v>
      </c>
    </row>
    <row r="258" spans="1:19" x14ac:dyDescent="0.25">
      <c r="A258" s="2">
        <v>40038</v>
      </c>
      <c r="B258" s="3">
        <v>0.76250000000000007</v>
      </c>
      <c r="C258" s="1">
        <v>119</v>
      </c>
      <c r="D258" t="s">
        <v>19</v>
      </c>
      <c r="E258" s="1">
        <v>0</v>
      </c>
      <c r="F258" s="1">
        <v>0</v>
      </c>
      <c r="G258" s="1">
        <v>1</v>
      </c>
      <c r="H258">
        <v>0</v>
      </c>
      <c r="I258">
        <v>0</v>
      </c>
      <c r="J258">
        <v>0</v>
      </c>
      <c r="K258">
        <v>0</v>
      </c>
      <c r="S258" t="s">
        <v>6</v>
      </c>
    </row>
    <row r="259" spans="1:19" x14ac:dyDescent="0.25">
      <c r="A259" s="2">
        <v>40040</v>
      </c>
      <c r="B259" s="3">
        <v>0.56319444444444444</v>
      </c>
      <c r="C259" s="1">
        <v>123</v>
      </c>
      <c r="D259" t="s">
        <v>19</v>
      </c>
      <c r="E259" s="1">
        <v>0</v>
      </c>
      <c r="F259" s="1">
        <v>0</v>
      </c>
      <c r="G259" s="1">
        <v>1</v>
      </c>
      <c r="H259">
        <v>0</v>
      </c>
      <c r="I259">
        <v>0</v>
      </c>
      <c r="J259">
        <v>0</v>
      </c>
      <c r="K259">
        <v>0</v>
      </c>
      <c r="S259" t="s">
        <v>6</v>
      </c>
    </row>
    <row r="260" spans="1:19" x14ac:dyDescent="0.25">
      <c r="A260" s="2">
        <v>40041</v>
      </c>
      <c r="B260" s="3">
        <v>0.33611111111111108</v>
      </c>
      <c r="C260" s="1">
        <v>147</v>
      </c>
      <c r="D260" t="s">
        <v>19</v>
      </c>
      <c r="E260" s="1">
        <v>1</v>
      </c>
      <c r="F260" s="1">
        <v>0</v>
      </c>
      <c r="G260" s="1">
        <v>0</v>
      </c>
      <c r="H260">
        <v>0</v>
      </c>
      <c r="I260">
        <v>0</v>
      </c>
      <c r="J260">
        <v>0</v>
      </c>
      <c r="K260">
        <v>0</v>
      </c>
      <c r="S260" t="s">
        <v>4</v>
      </c>
    </row>
    <row r="261" spans="1:19" x14ac:dyDescent="0.25">
      <c r="A261" s="2">
        <v>40042</v>
      </c>
      <c r="B261" s="3">
        <v>0.4993055555555555</v>
      </c>
      <c r="C261" s="1">
        <v>126</v>
      </c>
      <c r="D261" t="s">
        <v>19</v>
      </c>
      <c r="E261" s="1">
        <v>1</v>
      </c>
      <c r="F261" s="1">
        <v>0</v>
      </c>
      <c r="G261" s="1">
        <v>0</v>
      </c>
      <c r="H261">
        <v>0</v>
      </c>
      <c r="I261">
        <v>0</v>
      </c>
      <c r="J261">
        <v>0</v>
      </c>
      <c r="K261">
        <v>0</v>
      </c>
      <c r="S261" t="s">
        <v>4</v>
      </c>
    </row>
    <row r="262" spans="1:19" x14ac:dyDescent="0.25">
      <c r="A262" s="2">
        <v>40043</v>
      </c>
      <c r="B262" s="3">
        <v>0.19097222222222221</v>
      </c>
      <c r="C262" s="1">
        <v>131</v>
      </c>
      <c r="D262" t="s">
        <v>19</v>
      </c>
      <c r="E262" s="1">
        <v>1</v>
      </c>
      <c r="F262" s="1">
        <v>0</v>
      </c>
      <c r="G262" s="1">
        <v>0</v>
      </c>
      <c r="H262">
        <v>0</v>
      </c>
      <c r="I262">
        <v>0</v>
      </c>
      <c r="J262">
        <v>0</v>
      </c>
      <c r="K262">
        <v>0</v>
      </c>
      <c r="S262" t="s">
        <v>4</v>
      </c>
    </row>
    <row r="263" spans="1:19" x14ac:dyDescent="0.25">
      <c r="A263" s="2">
        <v>40043</v>
      </c>
      <c r="B263" s="3">
        <v>0.63958333333333328</v>
      </c>
      <c r="C263" s="1">
        <v>119</v>
      </c>
      <c r="D263" t="s">
        <v>19</v>
      </c>
      <c r="E263" s="1">
        <v>0</v>
      </c>
      <c r="F263" s="1">
        <v>0</v>
      </c>
      <c r="G263" s="1">
        <v>1</v>
      </c>
      <c r="H263">
        <v>0</v>
      </c>
      <c r="I263">
        <v>0</v>
      </c>
      <c r="J263">
        <v>0</v>
      </c>
      <c r="K263">
        <v>0</v>
      </c>
      <c r="S263" t="s">
        <v>6</v>
      </c>
    </row>
    <row r="264" spans="1:19" x14ac:dyDescent="0.25">
      <c r="A264" s="2">
        <v>40044</v>
      </c>
      <c r="B264" s="3">
        <v>0.13819444444444443</v>
      </c>
      <c r="C264" s="1">
        <v>143</v>
      </c>
      <c r="D264" t="s">
        <v>19</v>
      </c>
      <c r="E264" s="1">
        <v>1</v>
      </c>
      <c r="F264" s="1">
        <v>0</v>
      </c>
      <c r="G264" s="1">
        <v>0</v>
      </c>
      <c r="H264">
        <v>0</v>
      </c>
      <c r="I264">
        <v>0</v>
      </c>
      <c r="J264">
        <v>0</v>
      </c>
      <c r="K264">
        <v>0</v>
      </c>
      <c r="S264" t="s">
        <v>4</v>
      </c>
    </row>
    <row r="265" spans="1:19" x14ac:dyDescent="0.25">
      <c r="A265" s="2">
        <v>40045</v>
      </c>
      <c r="B265" s="3">
        <v>8.6111111111111124E-2</v>
      </c>
      <c r="C265" s="1">
        <v>125</v>
      </c>
      <c r="D265" t="s">
        <v>19</v>
      </c>
      <c r="E265" s="1">
        <v>1</v>
      </c>
      <c r="F265" s="1">
        <v>0</v>
      </c>
      <c r="G265" s="1">
        <v>0</v>
      </c>
      <c r="H265">
        <v>0</v>
      </c>
      <c r="I265">
        <v>0</v>
      </c>
      <c r="J265">
        <v>0</v>
      </c>
      <c r="K265">
        <v>0</v>
      </c>
      <c r="S265" t="s">
        <v>4</v>
      </c>
    </row>
    <row r="266" spans="1:19" x14ac:dyDescent="0.25">
      <c r="A266" s="2">
        <v>40045</v>
      </c>
      <c r="B266" s="3">
        <v>0.28333333333333333</v>
      </c>
      <c r="C266" s="1">
        <v>132</v>
      </c>
      <c r="D266" t="s">
        <v>19</v>
      </c>
      <c r="E266" s="1">
        <v>0</v>
      </c>
      <c r="F266" s="1">
        <v>0</v>
      </c>
      <c r="G266" s="1">
        <v>1</v>
      </c>
      <c r="H266">
        <v>0</v>
      </c>
      <c r="I266">
        <v>0</v>
      </c>
      <c r="J266">
        <v>0</v>
      </c>
      <c r="K266">
        <v>0</v>
      </c>
      <c r="S266" t="s">
        <v>6</v>
      </c>
    </row>
    <row r="267" spans="1:19" x14ac:dyDescent="0.25">
      <c r="A267" s="2">
        <v>40045</v>
      </c>
      <c r="B267" s="3">
        <v>0.60555555555555551</v>
      </c>
      <c r="C267" s="1">
        <v>130</v>
      </c>
      <c r="D267" t="s">
        <v>19</v>
      </c>
      <c r="E267" s="1">
        <v>0</v>
      </c>
      <c r="F267" s="1">
        <v>0</v>
      </c>
      <c r="G267" s="1">
        <v>1</v>
      </c>
      <c r="H267">
        <v>0</v>
      </c>
      <c r="I267">
        <v>0</v>
      </c>
      <c r="J267">
        <v>0</v>
      </c>
      <c r="K267">
        <v>0</v>
      </c>
      <c r="S267" t="s">
        <v>6</v>
      </c>
    </row>
    <row r="268" spans="1:19" x14ac:dyDescent="0.25">
      <c r="A268" s="2">
        <v>40046</v>
      </c>
      <c r="B268" s="3">
        <v>0.22291666666666665</v>
      </c>
      <c r="C268" s="1">
        <v>127</v>
      </c>
      <c r="D268" t="s">
        <v>19</v>
      </c>
      <c r="E268" s="1">
        <v>1</v>
      </c>
      <c r="F268" s="1">
        <v>0</v>
      </c>
      <c r="G268" s="1">
        <v>0</v>
      </c>
      <c r="H268">
        <v>0</v>
      </c>
      <c r="I268">
        <v>0</v>
      </c>
      <c r="J268">
        <v>0</v>
      </c>
      <c r="K268">
        <v>0</v>
      </c>
      <c r="S268" t="s">
        <v>4</v>
      </c>
    </row>
    <row r="269" spans="1:19" x14ac:dyDescent="0.25">
      <c r="A269" s="2">
        <v>40046</v>
      </c>
      <c r="B269" s="3">
        <v>0.37152777777777773</v>
      </c>
      <c r="C269" s="1">
        <v>140</v>
      </c>
      <c r="D269" t="s">
        <v>19</v>
      </c>
      <c r="E269" s="1">
        <v>0</v>
      </c>
      <c r="F269" s="1">
        <v>0</v>
      </c>
      <c r="G269" s="1">
        <v>1</v>
      </c>
      <c r="H269">
        <v>0</v>
      </c>
      <c r="I269">
        <v>0</v>
      </c>
      <c r="J269">
        <v>0</v>
      </c>
      <c r="K269">
        <v>0</v>
      </c>
      <c r="S269" t="s">
        <v>6</v>
      </c>
    </row>
    <row r="270" spans="1:19" x14ac:dyDescent="0.25">
      <c r="A270" s="2">
        <v>40046</v>
      </c>
      <c r="B270" s="3">
        <v>0.63958333333333328</v>
      </c>
      <c r="C270" s="1">
        <v>114</v>
      </c>
      <c r="D270" t="s">
        <v>19</v>
      </c>
      <c r="E270" s="1">
        <v>0</v>
      </c>
      <c r="F270" s="1">
        <v>0</v>
      </c>
      <c r="G270" s="1">
        <v>1</v>
      </c>
      <c r="H270">
        <v>0</v>
      </c>
      <c r="I270">
        <v>0</v>
      </c>
      <c r="J270">
        <v>0</v>
      </c>
      <c r="K270">
        <v>0</v>
      </c>
      <c r="S270" t="s">
        <v>6</v>
      </c>
    </row>
    <row r="271" spans="1:19" x14ac:dyDescent="0.25">
      <c r="A271" s="2">
        <v>40047</v>
      </c>
      <c r="B271" s="3">
        <v>0.18611111111111112</v>
      </c>
      <c r="C271" s="1">
        <v>120</v>
      </c>
      <c r="D271" t="s">
        <v>19</v>
      </c>
      <c r="E271" s="1">
        <v>1</v>
      </c>
      <c r="F271" s="1">
        <v>0</v>
      </c>
      <c r="G271" s="1">
        <v>0</v>
      </c>
      <c r="H271">
        <v>0</v>
      </c>
      <c r="I271">
        <v>0</v>
      </c>
      <c r="J271">
        <v>0</v>
      </c>
      <c r="K271">
        <v>0</v>
      </c>
      <c r="S271" t="s">
        <v>4</v>
      </c>
    </row>
    <row r="272" spans="1:19" x14ac:dyDescent="0.25">
      <c r="A272" s="2">
        <v>40047</v>
      </c>
      <c r="B272" s="3">
        <v>0.34027777777777773</v>
      </c>
      <c r="C272" s="1">
        <v>121</v>
      </c>
      <c r="D272" t="s">
        <v>19</v>
      </c>
      <c r="E272" s="1">
        <v>0</v>
      </c>
      <c r="F272" s="1">
        <v>0</v>
      </c>
      <c r="G272" s="1">
        <v>1</v>
      </c>
      <c r="H272">
        <v>0</v>
      </c>
      <c r="I272">
        <v>0</v>
      </c>
      <c r="J272">
        <v>0</v>
      </c>
      <c r="K272">
        <v>0</v>
      </c>
      <c r="S272" t="s">
        <v>6</v>
      </c>
    </row>
    <row r="273" spans="1:19" x14ac:dyDescent="0.25">
      <c r="A273" s="2">
        <v>40048</v>
      </c>
      <c r="B273" s="3">
        <v>0.22152777777777777</v>
      </c>
      <c r="C273" s="1">
        <v>114</v>
      </c>
      <c r="D273" t="s">
        <v>19</v>
      </c>
      <c r="E273" s="1">
        <v>1</v>
      </c>
      <c r="F273" s="1">
        <v>0</v>
      </c>
      <c r="G273" s="1">
        <v>0</v>
      </c>
      <c r="H273">
        <v>0</v>
      </c>
      <c r="I273">
        <v>0</v>
      </c>
      <c r="J273">
        <v>0</v>
      </c>
      <c r="K273">
        <v>0</v>
      </c>
      <c r="S273" t="s">
        <v>4</v>
      </c>
    </row>
    <row r="274" spans="1:19" x14ac:dyDescent="0.25">
      <c r="A274" s="2">
        <v>40048</v>
      </c>
      <c r="B274" s="3">
        <v>0.44097222222222227</v>
      </c>
      <c r="C274" s="1">
        <v>95</v>
      </c>
      <c r="D274" t="s">
        <v>19</v>
      </c>
      <c r="E274" s="1">
        <v>0</v>
      </c>
      <c r="F274" s="1">
        <v>0</v>
      </c>
      <c r="G274" s="1">
        <v>1</v>
      </c>
      <c r="H274">
        <v>0</v>
      </c>
      <c r="I274">
        <v>0</v>
      </c>
      <c r="J274">
        <v>0</v>
      </c>
      <c r="K274">
        <v>0</v>
      </c>
      <c r="S274" t="s">
        <v>6</v>
      </c>
    </row>
    <row r="275" spans="1:19" x14ac:dyDescent="0.25">
      <c r="A275" s="2">
        <v>40049</v>
      </c>
      <c r="B275" s="3">
        <v>0.27291666666666664</v>
      </c>
      <c r="C275" s="1">
        <v>122</v>
      </c>
      <c r="D275" t="s">
        <v>19</v>
      </c>
      <c r="E275" s="1">
        <v>1</v>
      </c>
      <c r="F275" s="1">
        <v>0</v>
      </c>
      <c r="G275" s="1">
        <v>0</v>
      </c>
      <c r="H275">
        <v>0</v>
      </c>
      <c r="I275">
        <v>0</v>
      </c>
      <c r="J275">
        <v>0</v>
      </c>
      <c r="K275">
        <v>0</v>
      </c>
      <c r="S275" t="s">
        <v>4</v>
      </c>
    </row>
    <row r="276" spans="1:19" x14ac:dyDescent="0.25">
      <c r="A276" s="2">
        <v>40049</v>
      </c>
      <c r="B276" s="3">
        <v>0.55486111111111114</v>
      </c>
      <c r="C276" s="1">
        <v>97</v>
      </c>
      <c r="D276" t="s">
        <v>19</v>
      </c>
      <c r="E276" s="1">
        <v>0</v>
      </c>
      <c r="F276" s="1">
        <v>0</v>
      </c>
      <c r="G276" s="1">
        <v>1</v>
      </c>
      <c r="H276">
        <v>0</v>
      </c>
      <c r="I276">
        <v>0</v>
      </c>
      <c r="J276">
        <v>0</v>
      </c>
      <c r="K276">
        <v>0</v>
      </c>
      <c r="S276" t="s">
        <v>6</v>
      </c>
    </row>
    <row r="277" spans="1:19" x14ac:dyDescent="0.25">
      <c r="A277" s="2">
        <v>40050</v>
      </c>
      <c r="B277" s="3">
        <v>0.22013888888888888</v>
      </c>
      <c r="C277" s="1">
        <v>115</v>
      </c>
      <c r="D277" t="s">
        <v>19</v>
      </c>
      <c r="E277" s="1">
        <v>1</v>
      </c>
      <c r="F277" s="1">
        <v>0</v>
      </c>
      <c r="G277" s="1">
        <v>0</v>
      </c>
      <c r="H277">
        <v>0</v>
      </c>
      <c r="I277">
        <v>0</v>
      </c>
      <c r="J277">
        <v>0</v>
      </c>
      <c r="K277">
        <v>0</v>
      </c>
      <c r="S277" t="s">
        <v>4</v>
      </c>
    </row>
    <row r="278" spans="1:19" x14ac:dyDescent="0.25">
      <c r="A278" s="2">
        <v>40051</v>
      </c>
      <c r="B278" s="3">
        <v>0.23333333333333331</v>
      </c>
      <c r="C278" s="1">
        <v>125</v>
      </c>
      <c r="D278" t="s">
        <v>19</v>
      </c>
      <c r="E278" s="1">
        <v>1</v>
      </c>
      <c r="F278" s="1">
        <v>0</v>
      </c>
      <c r="G278" s="1">
        <v>0</v>
      </c>
      <c r="H278">
        <v>0</v>
      </c>
      <c r="I278">
        <v>0</v>
      </c>
      <c r="J278">
        <v>0</v>
      </c>
      <c r="K278">
        <v>0</v>
      </c>
      <c r="S278" t="s">
        <v>4</v>
      </c>
    </row>
    <row r="279" spans="1:19" x14ac:dyDescent="0.25">
      <c r="A279" s="2">
        <v>40051</v>
      </c>
      <c r="B279" s="3">
        <v>0.49236111111111108</v>
      </c>
      <c r="C279" s="1">
        <v>98</v>
      </c>
      <c r="D279" t="s">
        <v>19</v>
      </c>
      <c r="E279" s="1">
        <v>0</v>
      </c>
      <c r="F279" s="1">
        <v>1</v>
      </c>
      <c r="G279" s="1">
        <v>0</v>
      </c>
      <c r="H279">
        <v>0</v>
      </c>
      <c r="I279">
        <v>0</v>
      </c>
      <c r="J279">
        <v>0</v>
      </c>
      <c r="K279">
        <v>0</v>
      </c>
      <c r="S279" t="s">
        <v>20</v>
      </c>
    </row>
    <row r="280" spans="1:19" x14ac:dyDescent="0.25">
      <c r="A280" s="2">
        <v>40052</v>
      </c>
      <c r="B280" s="3">
        <v>0.22291666666666665</v>
      </c>
      <c r="C280" s="1">
        <v>120</v>
      </c>
      <c r="D280" t="s">
        <v>19</v>
      </c>
      <c r="E280" s="1">
        <v>1</v>
      </c>
      <c r="F280" s="1">
        <v>0</v>
      </c>
      <c r="G280" s="1">
        <v>0</v>
      </c>
      <c r="H280">
        <v>0</v>
      </c>
      <c r="I280">
        <v>0</v>
      </c>
      <c r="J280">
        <v>0</v>
      </c>
      <c r="K280">
        <v>0</v>
      </c>
      <c r="S280" t="s">
        <v>4</v>
      </c>
    </row>
    <row r="281" spans="1:19" x14ac:dyDescent="0.25">
      <c r="A281" s="2">
        <v>40053</v>
      </c>
      <c r="B281" s="3">
        <v>0.32013888888888892</v>
      </c>
      <c r="C281" s="1">
        <v>132</v>
      </c>
      <c r="D281" t="s">
        <v>19</v>
      </c>
      <c r="E281" s="1">
        <v>1</v>
      </c>
      <c r="F281" s="1">
        <v>0</v>
      </c>
      <c r="G281" s="1">
        <v>0</v>
      </c>
      <c r="H281">
        <v>0</v>
      </c>
      <c r="I281">
        <v>0</v>
      </c>
      <c r="J281">
        <v>0</v>
      </c>
      <c r="K281">
        <v>0</v>
      </c>
      <c r="S281" t="s">
        <v>4</v>
      </c>
    </row>
    <row r="282" spans="1:19" x14ac:dyDescent="0.25">
      <c r="A282" s="2">
        <v>40053</v>
      </c>
      <c r="B282" s="3">
        <v>0.7993055555555556</v>
      </c>
      <c r="C282" s="1">
        <v>104</v>
      </c>
      <c r="D282" t="s">
        <v>19</v>
      </c>
      <c r="E282" s="1">
        <v>0</v>
      </c>
      <c r="F282" s="1">
        <v>1</v>
      </c>
      <c r="G282" s="1">
        <v>0</v>
      </c>
      <c r="H282">
        <v>0</v>
      </c>
      <c r="I282">
        <v>0</v>
      </c>
      <c r="J282">
        <v>0</v>
      </c>
      <c r="K282">
        <v>0</v>
      </c>
      <c r="S282" t="s">
        <v>20</v>
      </c>
    </row>
    <row r="283" spans="1:19" x14ac:dyDescent="0.25">
      <c r="A283" s="2">
        <v>40054</v>
      </c>
      <c r="B283" s="3">
        <v>0.20972222222222223</v>
      </c>
      <c r="C283" s="1">
        <v>96</v>
      </c>
      <c r="D283" t="s">
        <v>19</v>
      </c>
      <c r="E283" s="1">
        <v>1</v>
      </c>
      <c r="F283" s="1">
        <v>0</v>
      </c>
      <c r="G283" s="1">
        <v>0</v>
      </c>
      <c r="H283">
        <v>0</v>
      </c>
      <c r="I283">
        <v>0</v>
      </c>
      <c r="J283">
        <v>0</v>
      </c>
      <c r="K283">
        <v>0</v>
      </c>
      <c r="S283" t="s">
        <v>4</v>
      </c>
    </row>
    <row r="284" spans="1:19" x14ac:dyDescent="0.25">
      <c r="A284" s="2">
        <v>40055</v>
      </c>
      <c r="B284" s="3">
        <v>0.28055555555555556</v>
      </c>
      <c r="C284" s="1">
        <v>105</v>
      </c>
      <c r="D284" t="s">
        <v>19</v>
      </c>
      <c r="E284" s="1">
        <v>1</v>
      </c>
      <c r="F284" s="1">
        <v>0</v>
      </c>
      <c r="G284" s="1">
        <v>0</v>
      </c>
      <c r="H284">
        <v>0</v>
      </c>
      <c r="I284">
        <v>0</v>
      </c>
      <c r="J284">
        <v>0</v>
      </c>
      <c r="K284">
        <v>0</v>
      </c>
      <c r="S284" t="s">
        <v>4</v>
      </c>
    </row>
    <row r="285" spans="1:19" x14ac:dyDescent="0.25">
      <c r="A285" s="2">
        <v>40056</v>
      </c>
      <c r="B285" s="3">
        <v>0.32777777777777778</v>
      </c>
      <c r="C285" s="1">
        <v>106</v>
      </c>
      <c r="D285" t="s">
        <v>19</v>
      </c>
      <c r="E285" s="1">
        <v>1</v>
      </c>
      <c r="F285" s="1">
        <v>0</v>
      </c>
      <c r="G285" s="1">
        <v>0</v>
      </c>
      <c r="H285">
        <v>0</v>
      </c>
      <c r="I285">
        <v>0</v>
      </c>
      <c r="J285">
        <v>0</v>
      </c>
      <c r="K285">
        <v>0</v>
      </c>
      <c r="S285" t="s">
        <v>4</v>
      </c>
    </row>
    <row r="286" spans="1:19" x14ac:dyDescent="0.25">
      <c r="A286" s="2">
        <v>40057</v>
      </c>
      <c r="B286" s="3">
        <v>0.28194444444444444</v>
      </c>
      <c r="C286" s="1">
        <v>103</v>
      </c>
      <c r="D286" t="s">
        <v>19</v>
      </c>
      <c r="E286" s="1">
        <v>1</v>
      </c>
      <c r="F286" s="1">
        <v>0</v>
      </c>
      <c r="G286" s="1">
        <v>0</v>
      </c>
      <c r="H286">
        <v>0</v>
      </c>
      <c r="I286">
        <v>0</v>
      </c>
      <c r="J286">
        <v>0</v>
      </c>
      <c r="K286">
        <v>0</v>
      </c>
      <c r="S286" t="s">
        <v>4</v>
      </c>
    </row>
    <row r="287" spans="1:19" x14ac:dyDescent="0.25">
      <c r="A287" s="2">
        <v>40058</v>
      </c>
      <c r="B287" s="3">
        <v>0.25555555555555559</v>
      </c>
      <c r="C287" s="1">
        <v>120</v>
      </c>
      <c r="D287" t="s">
        <v>19</v>
      </c>
      <c r="E287" s="1">
        <v>1</v>
      </c>
      <c r="F287" s="1">
        <v>0</v>
      </c>
      <c r="G287" s="1">
        <v>0</v>
      </c>
      <c r="H287">
        <v>0</v>
      </c>
      <c r="I287">
        <v>0</v>
      </c>
      <c r="J287">
        <v>0</v>
      </c>
      <c r="K287">
        <v>0</v>
      </c>
      <c r="S287" t="s">
        <v>4</v>
      </c>
    </row>
    <row r="288" spans="1:19" x14ac:dyDescent="0.25">
      <c r="A288" s="2">
        <v>40059</v>
      </c>
      <c r="B288" s="3">
        <v>0.24236111111111111</v>
      </c>
      <c r="C288" s="1">
        <v>98</v>
      </c>
      <c r="D288" t="s">
        <v>19</v>
      </c>
      <c r="E288" s="1">
        <v>1</v>
      </c>
      <c r="F288" s="1">
        <v>0</v>
      </c>
      <c r="G288" s="1">
        <v>0</v>
      </c>
      <c r="H288">
        <v>0</v>
      </c>
      <c r="I288">
        <v>0</v>
      </c>
      <c r="J288">
        <v>0</v>
      </c>
      <c r="K288">
        <v>0</v>
      </c>
      <c r="S288" t="s">
        <v>4</v>
      </c>
    </row>
    <row r="289" spans="1:19" x14ac:dyDescent="0.25">
      <c r="A289" s="2">
        <v>40060</v>
      </c>
      <c r="B289" s="3">
        <v>0.20277777777777781</v>
      </c>
      <c r="C289" s="1">
        <v>101</v>
      </c>
      <c r="D289" t="s">
        <v>19</v>
      </c>
      <c r="E289" s="1">
        <v>1</v>
      </c>
      <c r="F289" s="1">
        <v>0</v>
      </c>
      <c r="G289" s="1">
        <v>0</v>
      </c>
      <c r="H289">
        <v>0</v>
      </c>
      <c r="I289">
        <v>0</v>
      </c>
      <c r="J289">
        <v>0</v>
      </c>
      <c r="K289">
        <v>0</v>
      </c>
      <c r="S289" t="s">
        <v>4</v>
      </c>
    </row>
    <row r="290" spans="1:19" x14ac:dyDescent="0.25">
      <c r="A290" s="2">
        <v>40061</v>
      </c>
      <c r="B290" s="3">
        <v>0.2902777777777778</v>
      </c>
      <c r="C290" s="1">
        <v>133</v>
      </c>
      <c r="D290" t="s">
        <v>19</v>
      </c>
      <c r="E290" s="1">
        <v>1</v>
      </c>
      <c r="F290" s="1">
        <v>0</v>
      </c>
      <c r="G290" s="1">
        <v>0</v>
      </c>
      <c r="H290">
        <v>0</v>
      </c>
      <c r="I290">
        <v>0</v>
      </c>
      <c r="J290">
        <v>0</v>
      </c>
      <c r="K290">
        <v>0</v>
      </c>
      <c r="S290" t="s">
        <v>4</v>
      </c>
    </row>
    <row r="291" spans="1:19" x14ac:dyDescent="0.25">
      <c r="A291" s="2">
        <v>40062</v>
      </c>
      <c r="B291" s="3">
        <v>0.20486111111111113</v>
      </c>
      <c r="C291" s="1">
        <v>115</v>
      </c>
      <c r="D291" t="s">
        <v>19</v>
      </c>
      <c r="E291" s="1">
        <v>1</v>
      </c>
      <c r="F291" s="1">
        <v>0</v>
      </c>
      <c r="G291" s="1">
        <v>0</v>
      </c>
      <c r="H291">
        <v>0</v>
      </c>
      <c r="I291">
        <v>0</v>
      </c>
      <c r="J291">
        <v>0</v>
      </c>
      <c r="K291">
        <v>0</v>
      </c>
      <c r="S291" t="s">
        <v>4</v>
      </c>
    </row>
    <row r="292" spans="1:19" x14ac:dyDescent="0.25">
      <c r="A292" s="2">
        <v>40063</v>
      </c>
      <c r="B292" s="3">
        <v>0.34791666666666665</v>
      </c>
      <c r="C292" s="1">
        <v>119</v>
      </c>
      <c r="D292" t="s">
        <v>19</v>
      </c>
      <c r="E292" s="1">
        <v>1</v>
      </c>
      <c r="F292" s="1">
        <v>0</v>
      </c>
      <c r="G292" s="1">
        <v>0</v>
      </c>
      <c r="H292">
        <v>0</v>
      </c>
      <c r="I292">
        <v>0</v>
      </c>
      <c r="J292">
        <v>0</v>
      </c>
      <c r="K292">
        <v>0</v>
      </c>
      <c r="S292" t="s">
        <v>4</v>
      </c>
    </row>
    <row r="293" spans="1:19" x14ac:dyDescent="0.25">
      <c r="A293" s="2">
        <v>40063</v>
      </c>
      <c r="B293" s="3">
        <v>0.73958333333333337</v>
      </c>
      <c r="C293" s="1">
        <v>119</v>
      </c>
      <c r="D293" t="s">
        <v>19</v>
      </c>
      <c r="E293" s="1">
        <v>0</v>
      </c>
      <c r="F293" s="1">
        <v>0</v>
      </c>
      <c r="G293" s="1">
        <v>1</v>
      </c>
      <c r="H293">
        <v>0</v>
      </c>
      <c r="I293">
        <v>0</v>
      </c>
      <c r="J293">
        <v>0</v>
      </c>
      <c r="K293">
        <v>0</v>
      </c>
      <c r="S293" t="s">
        <v>6</v>
      </c>
    </row>
    <row r="294" spans="1:19" x14ac:dyDescent="0.25">
      <c r="A294" s="2">
        <v>40065</v>
      </c>
      <c r="B294" s="3">
        <v>0.20416666666666669</v>
      </c>
      <c r="C294" s="1">
        <v>104</v>
      </c>
      <c r="D294" t="s">
        <v>19</v>
      </c>
      <c r="E294" s="1">
        <v>1</v>
      </c>
      <c r="F294" s="1">
        <v>0</v>
      </c>
      <c r="G294" s="1">
        <v>0</v>
      </c>
      <c r="H294">
        <v>0</v>
      </c>
      <c r="I294">
        <v>0</v>
      </c>
      <c r="J294">
        <v>0</v>
      </c>
      <c r="K294">
        <v>0</v>
      </c>
      <c r="S294" t="s">
        <v>4</v>
      </c>
    </row>
    <row r="295" spans="1:19" x14ac:dyDescent="0.25">
      <c r="A295" s="2">
        <v>40066</v>
      </c>
      <c r="B295" s="3">
        <v>0.28680555555555554</v>
      </c>
      <c r="C295" s="1">
        <v>133</v>
      </c>
      <c r="D295" t="s">
        <v>19</v>
      </c>
      <c r="E295" s="1">
        <v>1</v>
      </c>
      <c r="F295" s="1">
        <v>0</v>
      </c>
      <c r="G295" s="1">
        <v>0</v>
      </c>
      <c r="H295">
        <v>0</v>
      </c>
      <c r="I295">
        <v>0</v>
      </c>
      <c r="J295">
        <v>0</v>
      </c>
      <c r="K295">
        <v>0</v>
      </c>
      <c r="S295" t="s">
        <v>4</v>
      </c>
    </row>
    <row r="296" spans="1:19" x14ac:dyDescent="0.25">
      <c r="A296" s="2">
        <v>40067</v>
      </c>
      <c r="B296" s="3">
        <v>0.23194444444444443</v>
      </c>
      <c r="C296" s="1">
        <v>115</v>
      </c>
      <c r="D296" t="s">
        <v>19</v>
      </c>
      <c r="E296" s="1">
        <v>1</v>
      </c>
      <c r="F296" s="1">
        <v>0</v>
      </c>
      <c r="G296" s="1">
        <v>0</v>
      </c>
      <c r="H296">
        <v>0</v>
      </c>
      <c r="I296">
        <v>0</v>
      </c>
      <c r="J296">
        <v>0</v>
      </c>
      <c r="K296">
        <v>0</v>
      </c>
      <c r="S296" t="s">
        <v>4</v>
      </c>
    </row>
    <row r="297" spans="1:19" x14ac:dyDescent="0.25">
      <c r="A297" s="2">
        <v>40068</v>
      </c>
      <c r="B297" s="3">
        <v>0.20972222222222223</v>
      </c>
      <c r="C297" s="1">
        <v>110</v>
      </c>
      <c r="D297" t="s">
        <v>19</v>
      </c>
      <c r="E297" s="1">
        <v>1</v>
      </c>
      <c r="F297" s="1">
        <v>0</v>
      </c>
      <c r="G297" s="1">
        <v>0</v>
      </c>
      <c r="H297">
        <v>0</v>
      </c>
      <c r="I297">
        <v>0</v>
      </c>
      <c r="J297">
        <v>0</v>
      </c>
      <c r="K297">
        <v>0</v>
      </c>
      <c r="S297" t="s">
        <v>4</v>
      </c>
    </row>
    <row r="298" spans="1:19" x14ac:dyDescent="0.25">
      <c r="A298" s="2">
        <v>40070</v>
      </c>
      <c r="B298" s="3">
        <v>0.23194444444444443</v>
      </c>
      <c r="C298" s="1">
        <v>118</v>
      </c>
      <c r="D298" t="s">
        <v>19</v>
      </c>
      <c r="E298" s="1">
        <v>1</v>
      </c>
      <c r="F298" s="1">
        <v>0</v>
      </c>
      <c r="G298" s="1">
        <v>0</v>
      </c>
      <c r="H298">
        <v>0</v>
      </c>
      <c r="I298">
        <v>0</v>
      </c>
      <c r="J298">
        <v>0</v>
      </c>
      <c r="K298">
        <v>0</v>
      </c>
      <c r="S298" t="s">
        <v>4</v>
      </c>
    </row>
    <row r="299" spans="1:19" x14ac:dyDescent="0.25">
      <c r="A299" s="2">
        <v>40071</v>
      </c>
      <c r="B299" s="3">
        <v>0.17569444444444446</v>
      </c>
      <c r="C299" s="1">
        <v>99</v>
      </c>
      <c r="D299" t="s">
        <v>19</v>
      </c>
      <c r="E299" s="1">
        <v>1</v>
      </c>
      <c r="F299" s="1">
        <v>0</v>
      </c>
      <c r="G299" s="1">
        <v>0</v>
      </c>
      <c r="H299">
        <v>0</v>
      </c>
      <c r="I299">
        <v>0</v>
      </c>
      <c r="J299">
        <v>0</v>
      </c>
      <c r="K299">
        <v>0</v>
      </c>
      <c r="S299" t="s">
        <v>4</v>
      </c>
    </row>
    <row r="300" spans="1:19" x14ac:dyDescent="0.25">
      <c r="A300" s="2">
        <v>40072</v>
      </c>
      <c r="B300" s="3">
        <v>0.2722222222222222</v>
      </c>
      <c r="C300" s="1">
        <v>120</v>
      </c>
      <c r="D300" t="s">
        <v>19</v>
      </c>
      <c r="E300" s="1">
        <v>1</v>
      </c>
      <c r="F300" s="1">
        <v>0</v>
      </c>
      <c r="G300" s="1">
        <v>0</v>
      </c>
      <c r="H300">
        <v>0</v>
      </c>
      <c r="I300">
        <v>0</v>
      </c>
      <c r="J300">
        <v>0</v>
      </c>
      <c r="K300">
        <v>0</v>
      </c>
      <c r="S300" t="s">
        <v>4</v>
      </c>
    </row>
    <row r="301" spans="1:19" x14ac:dyDescent="0.25">
      <c r="A301" s="2">
        <v>40073</v>
      </c>
      <c r="B301" s="3">
        <v>0.28750000000000003</v>
      </c>
      <c r="C301" s="1">
        <v>128</v>
      </c>
      <c r="D301" t="s">
        <v>19</v>
      </c>
      <c r="E301" s="1">
        <v>1</v>
      </c>
      <c r="F301" s="1">
        <v>0</v>
      </c>
      <c r="G301" s="1">
        <v>0</v>
      </c>
      <c r="H301">
        <v>0</v>
      </c>
      <c r="I301">
        <v>0</v>
      </c>
      <c r="J301">
        <v>0</v>
      </c>
      <c r="K301">
        <v>0</v>
      </c>
      <c r="S301" t="s">
        <v>4</v>
      </c>
    </row>
    <row r="302" spans="1:19" x14ac:dyDescent="0.25">
      <c r="A302" s="2">
        <v>40074</v>
      </c>
      <c r="B302" s="3">
        <v>0.79305555555555562</v>
      </c>
      <c r="C302" s="1">
        <v>89</v>
      </c>
      <c r="D302" t="s">
        <v>19</v>
      </c>
      <c r="E302" s="1">
        <v>0</v>
      </c>
      <c r="F302" s="1">
        <v>0</v>
      </c>
      <c r="G302" s="1">
        <v>1</v>
      </c>
      <c r="H302">
        <v>0</v>
      </c>
      <c r="I302">
        <v>0</v>
      </c>
      <c r="J302">
        <v>0</v>
      </c>
      <c r="K302">
        <v>0</v>
      </c>
      <c r="S302" t="s">
        <v>6</v>
      </c>
    </row>
    <row r="303" spans="1:19" x14ac:dyDescent="0.25">
      <c r="A303" s="2">
        <v>40075</v>
      </c>
      <c r="B303" s="3">
        <v>0.30138888888888887</v>
      </c>
      <c r="C303" s="1">
        <v>117</v>
      </c>
      <c r="D303" t="s">
        <v>19</v>
      </c>
      <c r="E303" s="1">
        <v>1</v>
      </c>
      <c r="F303" s="1">
        <v>0</v>
      </c>
      <c r="G303" s="1">
        <v>0</v>
      </c>
      <c r="H303">
        <v>0</v>
      </c>
      <c r="I303">
        <v>0</v>
      </c>
      <c r="J303">
        <v>0</v>
      </c>
      <c r="K303">
        <v>0</v>
      </c>
      <c r="S303" t="s">
        <v>4</v>
      </c>
    </row>
    <row r="304" spans="1:19" x14ac:dyDescent="0.25">
      <c r="A304" s="2">
        <v>40076</v>
      </c>
      <c r="B304" s="3">
        <v>0.29722222222222222</v>
      </c>
      <c r="C304" s="1">
        <v>121</v>
      </c>
      <c r="D304" t="s">
        <v>19</v>
      </c>
      <c r="E304" s="1">
        <v>1</v>
      </c>
      <c r="F304" s="1">
        <v>0</v>
      </c>
      <c r="G304" s="1">
        <v>0</v>
      </c>
      <c r="H304">
        <v>0</v>
      </c>
      <c r="I304">
        <v>0</v>
      </c>
      <c r="J304">
        <v>0</v>
      </c>
      <c r="K304">
        <v>0</v>
      </c>
      <c r="S304" t="s">
        <v>4</v>
      </c>
    </row>
    <row r="305" spans="1:19" x14ac:dyDescent="0.25">
      <c r="A305" s="2">
        <v>40077</v>
      </c>
      <c r="B305" s="3">
        <v>0.25347222222222221</v>
      </c>
      <c r="C305" s="1">
        <v>117</v>
      </c>
      <c r="D305" t="s">
        <v>19</v>
      </c>
      <c r="E305" s="1">
        <v>1</v>
      </c>
      <c r="F305" s="1">
        <v>0</v>
      </c>
      <c r="G305" s="1">
        <v>0</v>
      </c>
      <c r="H305">
        <v>0</v>
      </c>
      <c r="I305">
        <v>0</v>
      </c>
      <c r="J305">
        <v>0</v>
      </c>
      <c r="K305">
        <v>0</v>
      </c>
      <c r="S305" t="s">
        <v>4</v>
      </c>
    </row>
    <row r="306" spans="1:19" x14ac:dyDescent="0.25">
      <c r="A306" s="2">
        <v>40078</v>
      </c>
      <c r="B306" s="3">
        <v>0.2590277777777778</v>
      </c>
      <c r="C306" s="1">
        <v>116</v>
      </c>
      <c r="D306" t="s">
        <v>19</v>
      </c>
      <c r="E306" s="1">
        <v>1</v>
      </c>
      <c r="F306" s="1">
        <v>0</v>
      </c>
      <c r="G306" s="1">
        <v>0</v>
      </c>
      <c r="H306">
        <v>0</v>
      </c>
      <c r="I306">
        <v>0</v>
      </c>
      <c r="J306">
        <v>0</v>
      </c>
      <c r="K306">
        <v>0</v>
      </c>
      <c r="S306" t="s">
        <v>4</v>
      </c>
    </row>
    <row r="307" spans="1:19" x14ac:dyDescent="0.25">
      <c r="A307" s="2">
        <v>40079</v>
      </c>
      <c r="B307" s="3">
        <v>0.14444444444444446</v>
      </c>
      <c r="C307" s="1">
        <v>111</v>
      </c>
      <c r="D307" t="s">
        <v>19</v>
      </c>
      <c r="E307" s="1">
        <v>1</v>
      </c>
      <c r="F307" s="1">
        <v>0</v>
      </c>
      <c r="G307" s="1">
        <v>0</v>
      </c>
      <c r="H307">
        <v>0</v>
      </c>
      <c r="I307">
        <v>0</v>
      </c>
      <c r="J307">
        <v>0</v>
      </c>
      <c r="K307">
        <v>0</v>
      </c>
      <c r="S307" t="s">
        <v>4</v>
      </c>
    </row>
    <row r="308" spans="1:19" x14ac:dyDescent="0.25">
      <c r="A308" s="2">
        <v>40080</v>
      </c>
      <c r="B308" s="3">
        <v>0.24513888888888888</v>
      </c>
      <c r="C308" s="1">
        <v>124</v>
      </c>
      <c r="D308" t="s">
        <v>19</v>
      </c>
      <c r="E308" s="1">
        <v>1</v>
      </c>
      <c r="F308" s="1">
        <v>0</v>
      </c>
      <c r="G308" s="1">
        <v>0</v>
      </c>
      <c r="H308">
        <v>0</v>
      </c>
      <c r="I308">
        <v>0</v>
      </c>
      <c r="J308">
        <v>0</v>
      </c>
      <c r="K308">
        <v>0</v>
      </c>
      <c r="S308" t="s">
        <v>4</v>
      </c>
    </row>
    <row r="309" spans="1:19" x14ac:dyDescent="0.25">
      <c r="A309" s="2">
        <v>40081</v>
      </c>
      <c r="B309" s="3">
        <v>0.3520833333333333</v>
      </c>
      <c r="C309" s="1">
        <v>105</v>
      </c>
      <c r="D309" t="s">
        <v>19</v>
      </c>
      <c r="E309" s="1">
        <v>1</v>
      </c>
      <c r="F309" s="1">
        <v>0</v>
      </c>
      <c r="G309" s="1">
        <v>0</v>
      </c>
      <c r="H309">
        <v>0</v>
      </c>
      <c r="I309">
        <v>0</v>
      </c>
      <c r="J309">
        <v>0</v>
      </c>
      <c r="K309">
        <v>0</v>
      </c>
      <c r="S309" t="s">
        <v>4</v>
      </c>
    </row>
    <row r="310" spans="1:19" x14ac:dyDescent="0.25">
      <c r="A310" s="2">
        <v>40082</v>
      </c>
      <c r="B310" s="3">
        <v>0.23819444444444446</v>
      </c>
      <c r="C310" s="1">
        <v>112</v>
      </c>
      <c r="D310" t="s">
        <v>19</v>
      </c>
      <c r="E310" s="1">
        <v>1</v>
      </c>
      <c r="F310" s="1">
        <v>0</v>
      </c>
      <c r="G310" s="1">
        <v>0</v>
      </c>
      <c r="H310">
        <v>0</v>
      </c>
      <c r="I310">
        <v>0</v>
      </c>
      <c r="J310">
        <v>0</v>
      </c>
      <c r="K310">
        <v>0</v>
      </c>
      <c r="S310" t="s">
        <v>4</v>
      </c>
    </row>
    <row r="311" spans="1:19" x14ac:dyDescent="0.25">
      <c r="A311" s="2">
        <v>40083</v>
      </c>
      <c r="B311" s="3">
        <v>0.33055555555555555</v>
      </c>
      <c r="C311" s="1">
        <v>120</v>
      </c>
      <c r="D311" t="s">
        <v>19</v>
      </c>
      <c r="E311" s="1">
        <v>1</v>
      </c>
      <c r="F311" s="1">
        <v>0</v>
      </c>
      <c r="G311" s="1">
        <v>0</v>
      </c>
      <c r="H311">
        <v>0</v>
      </c>
      <c r="I311">
        <v>0</v>
      </c>
      <c r="J311">
        <v>0</v>
      </c>
      <c r="K311">
        <v>0</v>
      </c>
      <c r="S311" t="s">
        <v>4</v>
      </c>
    </row>
    <row r="312" spans="1:19" x14ac:dyDescent="0.25">
      <c r="A312" s="2">
        <v>40084</v>
      </c>
      <c r="B312" s="3">
        <v>0.25277777777777777</v>
      </c>
      <c r="C312" s="1">
        <v>126</v>
      </c>
      <c r="D312" t="s">
        <v>19</v>
      </c>
      <c r="E312" s="1">
        <v>1</v>
      </c>
      <c r="F312" s="1">
        <v>0</v>
      </c>
      <c r="G312" s="1">
        <v>0</v>
      </c>
      <c r="H312">
        <v>0</v>
      </c>
      <c r="I312">
        <v>0</v>
      </c>
      <c r="J312">
        <v>0</v>
      </c>
      <c r="K312">
        <v>0</v>
      </c>
      <c r="S312" t="s">
        <v>4</v>
      </c>
    </row>
    <row r="313" spans="1:19" x14ac:dyDescent="0.25">
      <c r="A313" s="2">
        <v>40086</v>
      </c>
      <c r="B313" s="3">
        <v>0.25486111111111109</v>
      </c>
      <c r="C313" s="1">
        <v>111</v>
      </c>
      <c r="D313" t="s">
        <v>19</v>
      </c>
      <c r="E313" s="1">
        <v>1</v>
      </c>
      <c r="F313" s="1">
        <v>0</v>
      </c>
      <c r="G313" s="1">
        <v>0</v>
      </c>
      <c r="H313">
        <v>0</v>
      </c>
      <c r="I313">
        <v>0</v>
      </c>
      <c r="J313">
        <v>0</v>
      </c>
      <c r="K313">
        <v>0</v>
      </c>
      <c r="S313" t="s">
        <v>4</v>
      </c>
    </row>
    <row r="314" spans="1:19" x14ac:dyDescent="0.25">
      <c r="A314" s="2">
        <v>40087</v>
      </c>
      <c r="B314" s="3">
        <v>0.28263888888888888</v>
      </c>
      <c r="C314" s="1">
        <v>123</v>
      </c>
      <c r="D314" t="s">
        <v>19</v>
      </c>
      <c r="E314" s="1">
        <v>1</v>
      </c>
      <c r="F314" s="1">
        <v>0</v>
      </c>
      <c r="G314" s="1">
        <v>0</v>
      </c>
      <c r="H314">
        <v>0</v>
      </c>
      <c r="I314">
        <v>0</v>
      </c>
      <c r="J314">
        <v>0</v>
      </c>
      <c r="K314">
        <v>0</v>
      </c>
      <c r="S314" t="s">
        <v>4</v>
      </c>
    </row>
    <row r="315" spans="1:19" x14ac:dyDescent="0.25">
      <c r="A315" s="2">
        <v>40088</v>
      </c>
      <c r="B315" s="3">
        <v>0.2076388888888889</v>
      </c>
      <c r="C315" s="1">
        <v>120</v>
      </c>
      <c r="D315" t="s">
        <v>19</v>
      </c>
      <c r="E315" s="1">
        <v>1</v>
      </c>
      <c r="F315" s="1">
        <v>0</v>
      </c>
      <c r="G315" s="1">
        <v>0</v>
      </c>
      <c r="H315">
        <v>0</v>
      </c>
      <c r="I315">
        <v>0</v>
      </c>
      <c r="J315">
        <v>0</v>
      </c>
      <c r="K315">
        <v>0</v>
      </c>
      <c r="S315" t="s">
        <v>4</v>
      </c>
    </row>
    <row r="316" spans="1:19" x14ac:dyDescent="0.25">
      <c r="A316" s="2">
        <v>40089</v>
      </c>
      <c r="B316" s="3">
        <v>0.31111111111111112</v>
      </c>
      <c r="C316" s="1">
        <v>114</v>
      </c>
      <c r="D316" t="s">
        <v>19</v>
      </c>
      <c r="E316" s="1">
        <v>1</v>
      </c>
      <c r="F316" s="1">
        <v>0</v>
      </c>
      <c r="G316" s="1">
        <v>0</v>
      </c>
      <c r="H316">
        <v>0</v>
      </c>
      <c r="I316">
        <v>0</v>
      </c>
      <c r="J316">
        <v>0</v>
      </c>
      <c r="K316">
        <v>0</v>
      </c>
      <c r="S316" t="s">
        <v>4</v>
      </c>
    </row>
    <row r="317" spans="1:19" x14ac:dyDescent="0.25">
      <c r="A317" s="2">
        <v>40089</v>
      </c>
      <c r="B317" s="3">
        <v>0.6430555555555556</v>
      </c>
      <c r="C317" s="1">
        <v>151</v>
      </c>
      <c r="D317" t="s">
        <v>19</v>
      </c>
      <c r="E317" s="1">
        <v>0</v>
      </c>
      <c r="F317" s="1">
        <v>0</v>
      </c>
      <c r="G317" s="1">
        <v>1</v>
      </c>
      <c r="H317">
        <v>0</v>
      </c>
      <c r="I317">
        <v>0</v>
      </c>
      <c r="J317">
        <v>0</v>
      </c>
      <c r="K317">
        <v>0</v>
      </c>
      <c r="S317" t="s">
        <v>6</v>
      </c>
    </row>
    <row r="318" spans="1:19" x14ac:dyDescent="0.25">
      <c r="A318" s="2">
        <v>40090</v>
      </c>
      <c r="B318" s="3">
        <v>0.15347222222222223</v>
      </c>
      <c r="C318" s="1">
        <v>103</v>
      </c>
      <c r="D318" t="s">
        <v>19</v>
      </c>
      <c r="E318" s="1">
        <v>1</v>
      </c>
      <c r="F318" s="1">
        <v>0</v>
      </c>
      <c r="G318" s="1">
        <v>0</v>
      </c>
      <c r="H318">
        <v>0</v>
      </c>
      <c r="I318">
        <v>0</v>
      </c>
      <c r="J318">
        <v>0</v>
      </c>
      <c r="K318">
        <v>0</v>
      </c>
      <c r="S318" t="s">
        <v>4</v>
      </c>
    </row>
    <row r="319" spans="1:19" x14ac:dyDescent="0.25">
      <c r="A319" s="2">
        <v>40090</v>
      </c>
      <c r="B319" s="3">
        <v>0.64097222222222217</v>
      </c>
      <c r="C319" s="1">
        <v>130</v>
      </c>
      <c r="D319" t="s">
        <v>19</v>
      </c>
      <c r="E319" s="1">
        <v>0</v>
      </c>
      <c r="F319" s="1">
        <v>1</v>
      </c>
      <c r="G319" s="1">
        <v>0</v>
      </c>
      <c r="H319">
        <v>0</v>
      </c>
      <c r="I319">
        <v>0</v>
      </c>
      <c r="J319">
        <v>0</v>
      </c>
      <c r="K319">
        <v>0</v>
      </c>
      <c r="S319" t="s">
        <v>20</v>
      </c>
    </row>
    <row r="320" spans="1:19" x14ac:dyDescent="0.25">
      <c r="A320" s="2">
        <v>40091</v>
      </c>
      <c r="B320" s="3">
        <v>0.17916666666666667</v>
      </c>
      <c r="C320" s="1">
        <v>105</v>
      </c>
      <c r="D320" t="s">
        <v>19</v>
      </c>
      <c r="E320" s="1">
        <v>1</v>
      </c>
      <c r="F320" s="1">
        <v>0</v>
      </c>
      <c r="G320" s="1">
        <v>0</v>
      </c>
      <c r="H320">
        <v>0</v>
      </c>
      <c r="I320">
        <v>0</v>
      </c>
      <c r="J320">
        <v>0</v>
      </c>
      <c r="K320">
        <v>0</v>
      </c>
      <c r="S320" t="s">
        <v>4</v>
      </c>
    </row>
    <row r="321" spans="1:19" x14ac:dyDescent="0.25">
      <c r="A321" s="2">
        <v>40092</v>
      </c>
      <c r="B321" s="3">
        <v>0.23402777777777781</v>
      </c>
      <c r="C321" s="1">
        <v>131</v>
      </c>
      <c r="D321" t="s">
        <v>19</v>
      </c>
      <c r="E321" s="1">
        <v>1</v>
      </c>
      <c r="F321" s="1">
        <v>0</v>
      </c>
      <c r="G321" s="1">
        <v>0</v>
      </c>
      <c r="H321">
        <v>0</v>
      </c>
      <c r="I321">
        <v>0</v>
      </c>
      <c r="J321">
        <v>0</v>
      </c>
      <c r="K321">
        <v>0</v>
      </c>
      <c r="S321" t="s">
        <v>4</v>
      </c>
    </row>
    <row r="322" spans="1:19" x14ac:dyDescent="0.25">
      <c r="A322" s="2">
        <v>40094</v>
      </c>
      <c r="B322" s="3">
        <v>0.26944444444444443</v>
      </c>
      <c r="C322" s="1">
        <v>122</v>
      </c>
      <c r="D322" t="s">
        <v>19</v>
      </c>
      <c r="E322" s="1">
        <v>1</v>
      </c>
      <c r="F322" s="1">
        <v>0</v>
      </c>
      <c r="G322" s="1">
        <v>0</v>
      </c>
      <c r="H322">
        <v>0</v>
      </c>
      <c r="I322">
        <v>0</v>
      </c>
      <c r="J322">
        <v>0</v>
      </c>
      <c r="K322">
        <v>0</v>
      </c>
      <c r="S322" t="s">
        <v>4</v>
      </c>
    </row>
    <row r="323" spans="1:19" x14ac:dyDescent="0.25">
      <c r="A323" s="2">
        <v>40095</v>
      </c>
      <c r="B323" s="3">
        <v>0.24374999999999999</v>
      </c>
      <c r="C323" s="1">
        <v>116</v>
      </c>
      <c r="D323" t="s">
        <v>19</v>
      </c>
      <c r="E323" s="1">
        <v>1</v>
      </c>
      <c r="F323" s="1">
        <v>0</v>
      </c>
      <c r="G323" s="1">
        <v>0</v>
      </c>
      <c r="H323">
        <v>0</v>
      </c>
      <c r="I323">
        <v>0</v>
      </c>
      <c r="J323">
        <v>0</v>
      </c>
      <c r="K323">
        <v>0</v>
      </c>
      <c r="S323" t="s">
        <v>4</v>
      </c>
    </row>
    <row r="324" spans="1:19" x14ac:dyDescent="0.25">
      <c r="A324" s="2">
        <v>40096</v>
      </c>
      <c r="B324" s="3">
        <v>0.23402777777777781</v>
      </c>
      <c r="C324" s="1">
        <v>111</v>
      </c>
      <c r="D324" t="s">
        <v>19</v>
      </c>
      <c r="E324" s="1">
        <v>1</v>
      </c>
      <c r="F324" s="1">
        <v>0</v>
      </c>
      <c r="G324" s="1">
        <v>0</v>
      </c>
      <c r="H324">
        <v>0</v>
      </c>
      <c r="I324">
        <v>0</v>
      </c>
      <c r="J324">
        <v>0</v>
      </c>
      <c r="K324">
        <v>0</v>
      </c>
      <c r="S324" t="s">
        <v>4</v>
      </c>
    </row>
    <row r="325" spans="1:19" x14ac:dyDescent="0.25">
      <c r="A325" s="2">
        <v>40097</v>
      </c>
      <c r="B325" s="3">
        <v>0.39652777777777781</v>
      </c>
      <c r="C325" s="1">
        <v>106</v>
      </c>
      <c r="D325" t="s">
        <v>19</v>
      </c>
      <c r="E325" s="1">
        <v>0</v>
      </c>
      <c r="F325" s="1">
        <v>0</v>
      </c>
      <c r="G325" s="1">
        <v>1</v>
      </c>
      <c r="H325">
        <v>0</v>
      </c>
      <c r="I325">
        <v>0</v>
      </c>
      <c r="J325">
        <v>0</v>
      </c>
      <c r="K325">
        <v>0</v>
      </c>
      <c r="S325" t="s">
        <v>6</v>
      </c>
    </row>
    <row r="326" spans="1:19" x14ac:dyDescent="0.25">
      <c r="A326" s="2">
        <v>40098</v>
      </c>
      <c r="B326" s="3">
        <v>0.35972222222222222</v>
      </c>
      <c r="C326" s="1">
        <v>156</v>
      </c>
      <c r="D326" t="s">
        <v>19</v>
      </c>
      <c r="E326" s="1">
        <v>0</v>
      </c>
      <c r="F326" s="1">
        <v>1</v>
      </c>
      <c r="G326" s="1">
        <v>0</v>
      </c>
      <c r="H326">
        <v>0</v>
      </c>
      <c r="I326">
        <v>0</v>
      </c>
      <c r="J326">
        <v>0</v>
      </c>
      <c r="K326">
        <v>0</v>
      </c>
      <c r="S326" t="s">
        <v>20</v>
      </c>
    </row>
    <row r="327" spans="1:19" x14ac:dyDescent="0.25">
      <c r="A327" s="2">
        <v>40099</v>
      </c>
      <c r="B327" s="3">
        <v>0.2673611111111111</v>
      </c>
      <c r="C327" s="1">
        <v>113</v>
      </c>
      <c r="D327" t="s">
        <v>19</v>
      </c>
      <c r="E327" s="1">
        <v>1</v>
      </c>
      <c r="F327" s="1">
        <v>0</v>
      </c>
      <c r="G327" s="1">
        <v>0</v>
      </c>
      <c r="H327">
        <v>0</v>
      </c>
      <c r="I327">
        <v>0</v>
      </c>
      <c r="J327">
        <v>0</v>
      </c>
      <c r="K327">
        <v>0</v>
      </c>
      <c r="S327" t="s">
        <v>4</v>
      </c>
    </row>
    <row r="328" spans="1:19" x14ac:dyDescent="0.25">
      <c r="A328" s="2">
        <v>40100</v>
      </c>
      <c r="B328" s="3">
        <v>0.24305555555555555</v>
      </c>
      <c r="C328" s="1">
        <v>118</v>
      </c>
      <c r="D328" t="s">
        <v>19</v>
      </c>
      <c r="E328" s="1">
        <v>1</v>
      </c>
      <c r="F328" s="1">
        <v>0</v>
      </c>
      <c r="G328" s="1">
        <v>0</v>
      </c>
      <c r="H328">
        <v>0</v>
      </c>
      <c r="I328">
        <v>0</v>
      </c>
      <c r="J328">
        <v>0</v>
      </c>
      <c r="K328">
        <v>0</v>
      </c>
      <c r="S328" t="s">
        <v>4</v>
      </c>
    </row>
    <row r="329" spans="1:19" x14ac:dyDescent="0.25">
      <c r="A329" s="2">
        <v>40101</v>
      </c>
      <c r="B329" s="3">
        <v>0.11944444444444445</v>
      </c>
      <c r="C329" s="1">
        <v>96</v>
      </c>
      <c r="D329" t="s">
        <v>19</v>
      </c>
      <c r="E329" s="1">
        <v>1</v>
      </c>
      <c r="F329" s="1">
        <v>0</v>
      </c>
      <c r="G329" s="1">
        <v>0</v>
      </c>
      <c r="H329">
        <v>0</v>
      </c>
      <c r="I329">
        <v>0</v>
      </c>
      <c r="J329">
        <v>0</v>
      </c>
      <c r="K329">
        <v>0</v>
      </c>
      <c r="S329" t="s">
        <v>4</v>
      </c>
    </row>
    <row r="330" spans="1:19" x14ac:dyDescent="0.25">
      <c r="A330" s="2">
        <v>40102</v>
      </c>
      <c r="B330" s="3">
        <v>0.19722222222222222</v>
      </c>
      <c r="C330" s="1">
        <v>101</v>
      </c>
      <c r="D330" t="s">
        <v>19</v>
      </c>
      <c r="E330" s="1">
        <v>1</v>
      </c>
      <c r="F330" s="1">
        <v>0</v>
      </c>
      <c r="G330" s="1">
        <v>0</v>
      </c>
      <c r="H330">
        <v>0</v>
      </c>
      <c r="I330">
        <v>0</v>
      </c>
      <c r="J330">
        <v>0</v>
      </c>
      <c r="K330">
        <v>0</v>
      </c>
      <c r="S330" t="s">
        <v>4</v>
      </c>
    </row>
    <row r="331" spans="1:19" x14ac:dyDescent="0.25">
      <c r="A331" s="2">
        <v>40103</v>
      </c>
      <c r="B331" s="3">
        <v>0.21944444444444444</v>
      </c>
      <c r="C331" s="1">
        <v>116</v>
      </c>
      <c r="D331" t="s">
        <v>19</v>
      </c>
      <c r="E331" s="1">
        <v>1</v>
      </c>
      <c r="F331" s="1">
        <v>0</v>
      </c>
      <c r="G331" s="1">
        <v>0</v>
      </c>
      <c r="H331">
        <v>0</v>
      </c>
      <c r="I331">
        <v>0</v>
      </c>
      <c r="J331">
        <v>0</v>
      </c>
      <c r="K331">
        <v>0</v>
      </c>
      <c r="S331" t="s">
        <v>4</v>
      </c>
    </row>
    <row r="332" spans="1:19" x14ac:dyDescent="0.25">
      <c r="A332" s="2">
        <v>40104</v>
      </c>
      <c r="B332" s="3">
        <v>0.26111111111111113</v>
      </c>
      <c r="C332" s="1">
        <v>116</v>
      </c>
      <c r="D332" t="s">
        <v>19</v>
      </c>
      <c r="E332" s="1">
        <v>1</v>
      </c>
      <c r="F332" s="1">
        <v>0</v>
      </c>
      <c r="G332" s="1">
        <v>0</v>
      </c>
      <c r="H332">
        <v>0</v>
      </c>
      <c r="I332">
        <v>0</v>
      </c>
      <c r="J332">
        <v>0</v>
      </c>
      <c r="K332">
        <v>0</v>
      </c>
      <c r="S332" t="s">
        <v>4</v>
      </c>
    </row>
    <row r="333" spans="1:19" x14ac:dyDescent="0.25">
      <c r="A333" s="2">
        <v>40108</v>
      </c>
      <c r="B333" s="3">
        <v>0.29722222222222222</v>
      </c>
      <c r="C333" s="1">
        <v>136</v>
      </c>
      <c r="D333" t="s">
        <v>19</v>
      </c>
      <c r="E333" s="1">
        <v>1</v>
      </c>
      <c r="F333" s="1">
        <v>0</v>
      </c>
      <c r="G333" s="1">
        <v>0</v>
      </c>
      <c r="H333">
        <v>0</v>
      </c>
      <c r="I333">
        <v>0</v>
      </c>
      <c r="J333">
        <v>0</v>
      </c>
      <c r="K333">
        <v>0</v>
      </c>
      <c r="S333" t="s">
        <v>4</v>
      </c>
    </row>
    <row r="334" spans="1:19" x14ac:dyDescent="0.25">
      <c r="A334" s="2">
        <v>40109</v>
      </c>
      <c r="B334" s="3">
        <v>0.25694444444444448</v>
      </c>
      <c r="C334" s="1">
        <v>105</v>
      </c>
      <c r="D334" t="s">
        <v>19</v>
      </c>
      <c r="E334" s="1">
        <v>1</v>
      </c>
      <c r="F334" s="1">
        <v>0</v>
      </c>
      <c r="G334" s="1">
        <v>0</v>
      </c>
      <c r="H334">
        <v>0</v>
      </c>
      <c r="I334">
        <v>0</v>
      </c>
      <c r="J334">
        <v>0</v>
      </c>
      <c r="K334">
        <v>0</v>
      </c>
      <c r="S334" t="s">
        <v>4</v>
      </c>
    </row>
    <row r="335" spans="1:19" x14ac:dyDescent="0.25">
      <c r="A335" s="2">
        <v>40110</v>
      </c>
      <c r="B335" s="3">
        <v>0.27638888888888885</v>
      </c>
      <c r="C335" s="1">
        <v>117</v>
      </c>
      <c r="D335" t="s">
        <v>19</v>
      </c>
      <c r="E335" s="1">
        <v>1</v>
      </c>
      <c r="F335" s="1">
        <v>0</v>
      </c>
      <c r="G335" s="1">
        <v>0</v>
      </c>
      <c r="H335">
        <v>0</v>
      </c>
      <c r="I335">
        <v>0</v>
      </c>
      <c r="J335">
        <v>0</v>
      </c>
      <c r="K335">
        <v>0</v>
      </c>
      <c r="S335" t="s">
        <v>4</v>
      </c>
    </row>
    <row r="336" spans="1:19" x14ac:dyDescent="0.25">
      <c r="A336" s="2">
        <v>40113</v>
      </c>
      <c r="B336" s="3">
        <v>0.22916666666666666</v>
      </c>
      <c r="C336" s="1">
        <v>121</v>
      </c>
      <c r="D336" t="s">
        <v>19</v>
      </c>
      <c r="E336" s="1">
        <v>1</v>
      </c>
      <c r="F336" s="1">
        <v>0</v>
      </c>
      <c r="G336" s="1">
        <v>0</v>
      </c>
      <c r="H336">
        <v>0</v>
      </c>
      <c r="I336">
        <v>0</v>
      </c>
      <c r="J336">
        <v>0</v>
      </c>
      <c r="K336">
        <v>0</v>
      </c>
      <c r="S336" t="s">
        <v>4</v>
      </c>
    </row>
    <row r="337" spans="1:19" x14ac:dyDescent="0.25">
      <c r="A337" s="2">
        <v>40114</v>
      </c>
      <c r="B337" s="3">
        <v>0.26250000000000001</v>
      </c>
      <c r="C337" s="1">
        <v>130</v>
      </c>
      <c r="D337" t="s">
        <v>19</v>
      </c>
      <c r="E337" s="1">
        <v>1</v>
      </c>
      <c r="F337" s="1">
        <v>0</v>
      </c>
      <c r="G337" s="1">
        <v>0</v>
      </c>
      <c r="H337">
        <v>0</v>
      </c>
      <c r="I337">
        <v>0</v>
      </c>
      <c r="J337">
        <v>0</v>
      </c>
      <c r="K337">
        <v>0</v>
      </c>
      <c r="S337" t="s">
        <v>4</v>
      </c>
    </row>
    <row r="338" spans="1:19" x14ac:dyDescent="0.25">
      <c r="A338" s="2">
        <v>40115</v>
      </c>
      <c r="B338" s="3">
        <v>0.27083333333333331</v>
      </c>
      <c r="C338" s="1">
        <v>124</v>
      </c>
      <c r="D338" t="s">
        <v>19</v>
      </c>
      <c r="E338" s="1">
        <v>1</v>
      </c>
      <c r="F338" s="1">
        <v>0</v>
      </c>
      <c r="G338" s="1">
        <v>0</v>
      </c>
      <c r="H338">
        <v>0</v>
      </c>
      <c r="I338">
        <v>0</v>
      </c>
      <c r="J338">
        <v>0</v>
      </c>
      <c r="K338">
        <v>0</v>
      </c>
      <c r="S338" t="s">
        <v>4</v>
      </c>
    </row>
    <row r="339" spans="1:19" x14ac:dyDescent="0.25">
      <c r="A339" s="2">
        <v>40116</v>
      </c>
      <c r="B339" s="3">
        <v>0.26319444444444445</v>
      </c>
      <c r="C339" s="1">
        <v>103</v>
      </c>
      <c r="D339" t="s">
        <v>19</v>
      </c>
      <c r="E339" s="1">
        <v>1</v>
      </c>
      <c r="F339" s="1">
        <v>0</v>
      </c>
      <c r="G339" s="1">
        <v>0</v>
      </c>
      <c r="H339">
        <v>0</v>
      </c>
      <c r="I339">
        <v>0</v>
      </c>
      <c r="J339">
        <v>0</v>
      </c>
      <c r="K339">
        <v>0</v>
      </c>
      <c r="S339" t="s">
        <v>4</v>
      </c>
    </row>
    <row r="340" spans="1:19" x14ac:dyDescent="0.25">
      <c r="A340" s="2">
        <v>40116</v>
      </c>
      <c r="B340" s="3">
        <v>0.63194444444444442</v>
      </c>
      <c r="C340" s="1">
        <v>113</v>
      </c>
      <c r="D340" t="s">
        <v>19</v>
      </c>
      <c r="E340" s="1">
        <v>0</v>
      </c>
      <c r="F340" s="1">
        <v>0</v>
      </c>
      <c r="G340" s="1">
        <v>1</v>
      </c>
      <c r="H340">
        <v>0</v>
      </c>
      <c r="I340">
        <v>0</v>
      </c>
      <c r="J340">
        <v>0</v>
      </c>
      <c r="K340">
        <v>0</v>
      </c>
      <c r="S340" t="s">
        <v>6</v>
      </c>
    </row>
    <row r="341" spans="1:19" x14ac:dyDescent="0.25">
      <c r="A341" s="2">
        <v>40117</v>
      </c>
      <c r="B341" s="3">
        <v>0.24305555555555555</v>
      </c>
      <c r="C341" s="1">
        <v>145</v>
      </c>
      <c r="D341" t="s">
        <v>19</v>
      </c>
      <c r="E341" s="1">
        <v>1</v>
      </c>
      <c r="F341" s="1">
        <v>0</v>
      </c>
      <c r="G341" s="1">
        <v>0</v>
      </c>
      <c r="H341">
        <v>0</v>
      </c>
      <c r="I341">
        <v>0</v>
      </c>
      <c r="J341">
        <v>0</v>
      </c>
      <c r="K341">
        <v>0</v>
      </c>
      <c r="S341" t="s">
        <v>4</v>
      </c>
    </row>
    <row r="342" spans="1:19" x14ac:dyDescent="0.25">
      <c r="A342" s="2">
        <v>40118</v>
      </c>
      <c r="B342" s="3">
        <v>0.14791666666666667</v>
      </c>
      <c r="C342" s="1">
        <v>139</v>
      </c>
      <c r="D342" t="s">
        <v>19</v>
      </c>
      <c r="E342" s="1">
        <v>1</v>
      </c>
      <c r="F342" s="1">
        <v>0</v>
      </c>
      <c r="G342" s="1">
        <v>0</v>
      </c>
      <c r="H342">
        <v>0</v>
      </c>
      <c r="I342">
        <v>0</v>
      </c>
      <c r="J342">
        <v>0</v>
      </c>
      <c r="K342">
        <v>0</v>
      </c>
      <c r="S342" t="s">
        <v>4</v>
      </c>
    </row>
    <row r="343" spans="1:19" x14ac:dyDescent="0.25">
      <c r="A343" s="2">
        <v>40120</v>
      </c>
      <c r="B343" s="3">
        <v>0.20625000000000002</v>
      </c>
      <c r="C343" s="1">
        <v>115</v>
      </c>
      <c r="D343" t="s">
        <v>19</v>
      </c>
      <c r="E343" s="1">
        <v>1</v>
      </c>
      <c r="F343" s="1">
        <v>0</v>
      </c>
      <c r="G343" s="1">
        <v>0</v>
      </c>
      <c r="H343">
        <v>0</v>
      </c>
      <c r="I343">
        <v>0</v>
      </c>
      <c r="J343">
        <v>0</v>
      </c>
      <c r="K343">
        <v>0</v>
      </c>
      <c r="S343" t="s">
        <v>4</v>
      </c>
    </row>
    <row r="344" spans="1:19" x14ac:dyDescent="0.25">
      <c r="A344" s="2">
        <v>40121</v>
      </c>
      <c r="B344" s="3">
        <v>0.28125</v>
      </c>
      <c r="C344" s="1">
        <v>113</v>
      </c>
      <c r="D344" t="s">
        <v>19</v>
      </c>
      <c r="E344" s="1">
        <v>1</v>
      </c>
      <c r="F344" s="1">
        <v>0</v>
      </c>
      <c r="G344" s="1">
        <v>0</v>
      </c>
      <c r="H344">
        <v>0</v>
      </c>
      <c r="I344">
        <v>0</v>
      </c>
      <c r="J344">
        <v>0</v>
      </c>
      <c r="K344">
        <v>0</v>
      </c>
      <c r="S344" t="s">
        <v>4</v>
      </c>
    </row>
    <row r="345" spans="1:19" x14ac:dyDescent="0.25">
      <c r="A345" s="2">
        <v>40122</v>
      </c>
      <c r="B345" s="3">
        <v>0.27499999999999997</v>
      </c>
      <c r="C345" s="1">
        <v>119</v>
      </c>
      <c r="D345" t="s">
        <v>19</v>
      </c>
      <c r="E345" s="1">
        <v>1</v>
      </c>
      <c r="F345" s="1">
        <v>0</v>
      </c>
      <c r="G345" s="1">
        <v>0</v>
      </c>
      <c r="H345">
        <v>0</v>
      </c>
      <c r="I345">
        <v>0</v>
      </c>
      <c r="J345">
        <v>0</v>
      </c>
      <c r="K345">
        <v>0</v>
      </c>
      <c r="S345" t="s">
        <v>4</v>
      </c>
    </row>
    <row r="346" spans="1:19" x14ac:dyDescent="0.25">
      <c r="A346" s="2">
        <v>40123</v>
      </c>
      <c r="B346" s="3">
        <v>0.2722222222222222</v>
      </c>
      <c r="C346" s="1">
        <v>110</v>
      </c>
      <c r="D346" t="s">
        <v>19</v>
      </c>
      <c r="E346" s="1">
        <v>1</v>
      </c>
      <c r="F346" s="1">
        <v>0</v>
      </c>
      <c r="G346" s="1">
        <v>0</v>
      </c>
      <c r="H346">
        <v>0</v>
      </c>
      <c r="I346">
        <v>0</v>
      </c>
      <c r="J346">
        <v>0</v>
      </c>
      <c r="K346">
        <v>0</v>
      </c>
      <c r="S346" t="s">
        <v>4</v>
      </c>
    </row>
    <row r="347" spans="1:19" x14ac:dyDescent="0.25">
      <c r="A347" s="2">
        <v>40125</v>
      </c>
      <c r="B347" s="3">
        <v>0.7597222222222223</v>
      </c>
      <c r="C347" s="1">
        <v>116</v>
      </c>
      <c r="D347" t="s">
        <v>19</v>
      </c>
      <c r="E347" s="1">
        <v>0</v>
      </c>
      <c r="F347" s="1">
        <v>0</v>
      </c>
      <c r="G347" s="1">
        <v>1</v>
      </c>
      <c r="H347">
        <v>0</v>
      </c>
      <c r="I347">
        <v>0</v>
      </c>
      <c r="J347">
        <v>0</v>
      </c>
      <c r="K347">
        <v>0</v>
      </c>
      <c r="S347" t="s">
        <v>6</v>
      </c>
    </row>
    <row r="348" spans="1:19" x14ac:dyDescent="0.25">
      <c r="A348" s="2">
        <v>40126</v>
      </c>
      <c r="B348" s="3">
        <v>0.34652777777777777</v>
      </c>
      <c r="C348" s="1">
        <v>121</v>
      </c>
      <c r="D348" t="s">
        <v>19</v>
      </c>
      <c r="E348" s="1">
        <v>1</v>
      </c>
      <c r="F348" s="1">
        <v>0</v>
      </c>
      <c r="G348" s="1">
        <v>0</v>
      </c>
      <c r="H348">
        <v>0</v>
      </c>
      <c r="I348">
        <v>0</v>
      </c>
      <c r="J348">
        <v>0</v>
      </c>
      <c r="K348">
        <v>0</v>
      </c>
      <c r="S348" t="s">
        <v>4</v>
      </c>
    </row>
    <row r="349" spans="1:19" x14ac:dyDescent="0.25">
      <c r="A349" s="2">
        <v>40126</v>
      </c>
      <c r="B349" s="3">
        <v>0.64652777777777781</v>
      </c>
      <c r="C349" s="1">
        <v>109</v>
      </c>
      <c r="D349" t="s">
        <v>19</v>
      </c>
      <c r="E349" s="1">
        <v>0</v>
      </c>
      <c r="F349" s="1">
        <v>0</v>
      </c>
      <c r="G349" s="1">
        <v>1</v>
      </c>
      <c r="H349">
        <v>0</v>
      </c>
      <c r="I349">
        <v>0</v>
      </c>
      <c r="J349">
        <v>0</v>
      </c>
      <c r="K349">
        <v>0</v>
      </c>
      <c r="S349" t="s">
        <v>6</v>
      </c>
    </row>
    <row r="350" spans="1:19" x14ac:dyDescent="0.25">
      <c r="A350" s="2">
        <v>40127</v>
      </c>
      <c r="B350" s="3">
        <v>0.2673611111111111</v>
      </c>
      <c r="C350" s="1">
        <v>104</v>
      </c>
      <c r="D350" t="s">
        <v>19</v>
      </c>
      <c r="E350" s="1">
        <v>1</v>
      </c>
      <c r="F350" s="1">
        <v>0</v>
      </c>
      <c r="G350" s="1">
        <v>0</v>
      </c>
      <c r="H350">
        <v>0</v>
      </c>
      <c r="I350">
        <v>0</v>
      </c>
      <c r="J350">
        <v>0</v>
      </c>
      <c r="K350">
        <v>0</v>
      </c>
      <c r="S350" t="s">
        <v>4</v>
      </c>
    </row>
    <row r="351" spans="1:19" x14ac:dyDescent="0.25">
      <c r="A351" s="2">
        <v>40128</v>
      </c>
      <c r="B351" s="3">
        <v>0.31736111111111115</v>
      </c>
      <c r="C351" s="1">
        <v>108</v>
      </c>
      <c r="D351" t="s">
        <v>19</v>
      </c>
      <c r="E351" s="1">
        <v>0</v>
      </c>
      <c r="F351" s="1">
        <v>1</v>
      </c>
      <c r="G351" s="1">
        <v>0</v>
      </c>
      <c r="H351">
        <v>0</v>
      </c>
      <c r="I351">
        <v>0</v>
      </c>
      <c r="J351">
        <v>0</v>
      </c>
      <c r="K351">
        <v>0</v>
      </c>
      <c r="S351" t="s">
        <v>20</v>
      </c>
    </row>
    <row r="352" spans="1:19" x14ac:dyDescent="0.25">
      <c r="A352" s="2">
        <v>40128</v>
      </c>
      <c r="B352" s="3">
        <v>0.89722222222222225</v>
      </c>
      <c r="C352" s="1">
        <v>88</v>
      </c>
      <c r="D352" t="s">
        <v>19</v>
      </c>
      <c r="E352" s="1">
        <v>0</v>
      </c>
      <c r="F352" s="1">
        <v>0</v>
      </c>
      <c r="G352" s="1">
        <v>1</v>
      </c>
      <c r="H352">
        <v>0</v>
      </c>
      <c r="I352">
        <v>0</v>
      </c>
      <c r="J352">
        <v>0</v>
      </c>
      <c r="K352">
        <v>0</v>
      </c>
      <c r="S352" t="s">
        <v>6</v>
      </c>
    </row>
    <row r="353" spans="1:19" x14ac:dyDescent="0.25">
      <c r="A353" s="2">
        <v>40129</v>
      </c>
      <c r="B353" s="3">
        <v>0.30763888888888891</v>
      </c>
      <c r="C353" s="1">
        <v>127</v>
      </c>
      <c r="D353" t="s">
        <v>19</v>
      </c>
      <c r="E353" s="1">
        <v>1</v>
      </c>
      <c r="F353" s="1">
        <v>0</v>
      </c>
      <c r="G353" s="1">
        <v>0</v>
      </c>
      <c r="H353">
        <v>0</v>
      </c>
      <c r="I353">
        <v>0</v>
      </c>
      <c r="J353">
        <v>0</v>
      </c>
      <c r="K353">
        <v>0</v>
      </c>
      <c r="S353" t="s">
        <v>4</v>
      </c>
    </row>
    <row r="354" spans="1:19" x14ac:dyDescent="0.25">
      <c r="A354" s="2">
        <v>40129</v>
      </c>
      <c r="B354" s="3">
        <v>0.8847222222222223</v>
      </c>
      <c r="C354" s="1">
        <v>88</v>
      </c>
      <c r="D354" t="s">
        <v>19</v>
      </c>
      <c r="E354" s="1">
        <v>0</v>
      </c>
      <c r="F354" s="1">
        <v>0</v>
      </c>
      <c r="G354" s="1">
        <v>1</v>
      </c>
      <c r="H354">
        <v>0</v>
      </c>
      <c r="I354">
        <v>0</v>
      </c>
      <c r="J354">
        <v>0</v>
      </c>
      <c r="K354">
        <v>0</v>
      </c>
      <c r="S354" t="s">
        <v>6</v>
      </c>
    </row>
    <row r="355" spans="1:19" x14ac:dyDescent="0.25">
      <c r="A355" s="2">
        <v>40130</v>
      </c>
      <c r="B355" s="3">
        <v>0.34652777777777777</v>
      </c>
      <c r="C355" s="1">
        <v>129</v>
      </c>
      <c r="D355" t="s">
        <v>19</v>
      </c>
      <c r="E355" s="1">
        <v>1</v>
      </c>
      <c r="F355" s="1">
        <v>0</v>
      </c>
      <c r="G355" s="1">
        <v>0</v>
      </c>
      <c r="H355">
        <v>0</v>
      </c>
      <c r="I355">
        <v>0</v>
      </c>
      <c r="J355">
        <v>0</v>
      </c>
      <c r="K355">
        <v>0</v>
      </c>
      <c r="S355" t="s">
        <v>4</v>
      </c>
    </row>
    <row r="356" spans="1:19" x14ac:dyDescent="0.25">
      <c r="A356" s="2">
        <v>40131</v>
      </c>
      <c r="B356" s="3">
        <v>0.34166666666666662</v>
      </c>
      <c r="C356" s="1">
        <v>125</v>
      </c>
      <c r="D356" t="s">
        <v>19</v>
      </c>
      <c r="E356" s="1">
        <v>1</v>
      </c>
      <c r="F356" s="1">
        <v>0</v>
      </c>
      <c r="G356" s="1">
        <v>0</v>
      </c>
      <c r="H356">
        <v>0</v>
      </c>
      <c r="I356">
        <v>0</v>
      </c>
      <c r="J356">
        <v>0</v>
      </c>
      <c r="K356">
        <v>0</v>
      </c>
      <c r="S356" t="s">
        <v>4</v>
      </c>
    </row>
    <row r="357" spans="1:19" x14ac:dyDescent="0.25">
      <c r="A357" s="2">
        <v>40134</v>
      </c>
      <c r="B357" s="3">
        <v>0.24166666666666667</v>
      </c>
      <c r="C357" s="1">
        <v>115</v>
      </c>
      <c r="D357" t="s">
        <v>19</v>
      </c>
      <c r="E357" s="1">
        <v>1</v>
      </c>
      <c r="F357" s="1">
        <v>0</v>
      </c>
      <c r="G357" s="1">
        <v>0</v>
      </c>
      <c r="H357">
        <v>0</v>
      </c>
      <c r="I357">
        <v>0</v>
      </c>
      <c r="J357">
        <v>0</v>
      </c>
      <c r="K357">
        <v>0</v>
      </c>
      <c r="S357" t="s">
        <v>4</v>
      </c>
    </row>
    <row r="358" spans="1:19" x14ac:dyDescent="0.25">
      <c r="A358" s="2">
        <v>40135</v>
      </c>
      <c r="B358" s="3">
        <v>0.30277777777777776</v>
      </c>
      <c r="C358" s="1">
        <v>115</v>
      </c>
      <c r="D358" t="s">
        <v>19</v>
      </c>
      <c r="E358" s="1">
        <v>1</v>
      </c>
      <c r="F358" s="1">
        <v>0</v>
      </c>
      <c r="G358" s="1">
        <v>0</v>
      </c>
      <c r="H358">
        <v>0</v>
      </c>
      <c r="I358">
        <v>0</v>
      </c>
      <c r="J358">
        <v>0</v>
      </c>
      <c r="K358">
        <v>0</v>
      </c>
      <c r="S358" t="s">
        <v>4</v>
      </c>
    </row>
    <row r="359" spans="1:19" x14ac:dyDescent="0.25">
      <c r="A359" s="2">
        <v>40136</v>
      </c>
      <c r="B359" s="3">
        <v>0.26944444444444443</v>
      </c>
      <c r="C359" s="1">
        <v>112</v>
      </c>
      <c r="D359" t="s">
        <v>19</v>
      </c>
      <c r="E359" s="1">
        <v>1</v>
      </c>
      <c r="F359" s="1">
        <v>0</v>
      </c>
      <c r="G359" s="1">
        <v>0</v>
      </c>
      <c r="H359">
        <v>0</v>
      </c>
      <c r="I359">
        <v>0</v>
      </c>
      <c r="J359">
        <v>0</v>
      </c>
      <c r="K359">
        <v>0</v>
      </c>
      <c r="S359" t="s">
        <v>4</v>
      </c>
    </row>
    <row r="360" spans="1:19" x14ac:dyDescent="0.25">
      <c r="A360" s="2">
        <v>40137</v>
      </c>
      <c r="B360" s="3">
        <v>0.29097222222222224</v>
      </c>
      <c r="C360" s="1">
        <v>113</v>
      </c>
      <c r="D360" t="s">
        <v>19</v>
      </c>
      <c r="E360" s="1">
        <v>1</v>
      </c>
      <c r="F360" s="1">
        <v>0</v>
      </c>
      <c r="G360" s="1">
        <v>0</v>
      </c>
      <c r="H360">
        <v>0</v>
      </c>
      <c r="I360">
        <v>0</v>
      </c>
      <c r="J360">
        <v>0</v>
      </c>
      <c r="K360">
        <v>0</v>
      </c>
      <c r="S360" t="s">
        <v>4</v>
      </c>
    </row>
    <row r="361" spans="1:19" x14ac:dyDescent="0.25">
      <c r="A361" s="2">
        <v>40137</v>
      </c>
      <c r="B361" s="3">
        <v>0.7055555555555556</v>
      </c>
      <c r="C361" s="1">
        <v>170</v>
      </c>
      <c r="D361" t="s">
        <v>19</v>
      </c>
      <c r="E361" s="1">
        <v>0</v>
      </c>
      <c r="F361" s="1">
        <v>0</v>
      </c>
      <c r="G361" s="1">
        <v>1</v>
      </c>
      <c r="H361">
        <v>0</v>
      </c>
      <c r="I361">
        <v>0</v>
      </c>
      <c r="J361">
        <v>0</v>
      </c>
      <c r="K361">
        <v>0</v>
      </c>
      <c r="S361" t="s">
        <v>6</v>
      </c>
    </row>
    <row r="362" spans="1:19" x14ac:dyDescent="0.25">
      <c r="A362" s="2">
        <v>40137</v>
      </c>
      <c r="B362" s="3">
        <v>0.77083333333333337</v>
      </c>
      <c r="C362" s="1">
        <v>129</v>
      </c>
      <c r="D362" t="s">
        <v>19</v>
      </c>
      <c r="E362" s="1">
        <v>0</v>
      </c>
      <c r="F362" s="1">
        <v>1</v>
      </c>
      <c r="G362" s="1">
        <v>0</v>
      </c>
      <c r="H362">
        <v>0</v>
      </c>
      <c r="I362">
        <v>0</v>
      </c>
      <c r="J362">
        <v>0</v>
      </c>
      <c r="K362">
        <v>0</v>
      </c>
      <c r="S362" t="s">
        <v>20</v>
      </c>
    </row>
    <row r="363" spans="1:19" x14ac:dyDescent="0.25">
      <c r="A363" s="2">
        <v>40141</v>
      </c>
      <c r="B363" s="3">
        <v>0.24861111111111112</v>
      </c>
      <c r="C363" s="1">
        <v>106</v>
      </c>
      <c r="D363" t="s">
        <v>19</v>
      </c>
      <c r="E363" s="1">
        <v>1</v>
      </c>
      <c r="F363" s="1">
        <v>0</v>
      </c>
      <c r="G363" s="1">
        <v>0</v>
      </c>
      <c r="H363">
        <v>0</v>
      </c>
      <c r="I363">
        <v>0</v>
      </c>
      <c r="J363">
        <v>0</v>
      </c>
      <c r="K363">
        <v>0</v>
      </c>
      <c r="S363" t="s">
        <v>4</v>
      </c>
    </row>
    <row r="364" spans="1:19" x14ac:dyDescent="0.25">
      <c r="A364" s="2">
        <v>40142</v>
      </c>
      <c r="B364" s="3">
        <v>0.27361111111111108</v>
      </c>
      <c r="C364" s="1">
        <v>109</v>
      </c>
      <c r="D364" t="s">
        <v>19</v>
      </c>
      <c r="E364" s="1">
        <v>1</v>
      </c>
      <c r="F364" s="1">
        <v>0</v>
      </c>
      <c r="G364" s="1">
        <v>0</v>
      </c>
      <c r="H364">
        <v>0</v>
      </c>
      <c r="I364">
        <v>0</v>
      </c>
      <c r="J364">
        <v>0</v>
      </c>
      <c r="K364">
        <v>0</v>
      </c>
      <c r="S364" t="s">
        <v>4</v>
      </c>
    </row>
    <row r="365" spans="1:19" x14ac:dyDescent="0.25">
      <c r="A365" s="2">
        <v>40144</v>
      </c>
      <c r="B365" s="3">
        <v>0.47083333333333338</v>
      </c>
      <c r="C365" s="1">
        <v>153</v>
      </c>
      <c r="D365" t="s">
        <v>19</v>
      </c>
      <c r="E365" s="1">
        <v>1</v>
      </c>
      <c r="F365" s="1">
        <v>0</v>
      </c>
      <c r="G365" s="1">
        <v>0</v>
      </c>
      <c r="H365">
        <v>0</v>
      </c>
      <c r="I365">
        <v>0</v>
      </c>
      <c r="J365">
        <v>0</v>
      </c>
      <c r="K365">
        <v>0</v>
      </c>
      <c r="S365" t="s">
        <v>4</v>
      </c>
    </row>
    <row r="366" spans="1:19" x14ac:dyDescent="0.25">
      <c r="A366" s="2">
        <v>40146</v>
      </c>
      <c r="B366" s="3">
        <v>0.24513888888888888</v>
      </c>
      <c r="C366" s="1">
        <v>106</v>
      </c>
      <c r="D366" t="s">
        <v>19</v>
      </c>
      <c r="E366" s="1">
        <v>1</v>
      </c>
      <c r="F366" s="1">
        <v>0</v>
      </c>
      <c r="G366" s="1">
        <v>0</v>
      </c>
      <c r="H366">
        <v>0</v>
      </c>
      <c r="I366">
        <v>0</v>
      </c>
      <c r="J366">
        <v>0</v>
      </c>
      <c r="K366">
        <v>0</v>
      </c>
      <c r="S366" t="s">
        <v>4</v>
      </c>
    </row>
    <row r="367" spans="1:19" x14ac:dyDescent="0.25">
      <c r="A367" s="2">
        <v>40147</v>
      </c>
      <c r="B367" s="3">
        <v>0.36874999999999997</v>
      </c>
      <c r="C367" s="1">
        <v>117</v>
      </c>
      <c r="D367" t="s">
        <v>19</v>
      </c>
      <c r="E367" s="1">
        <v>1</v>
      </c>
      <c r="F367" s="1">
        <v>0</v>
      </c>
      <c r="G367" s="1">
        <v>0</v>
      </c>
      <c r="H367">
        <v>0</v>
      </c>
      <c r="I367">
        <v>0</v>
      </c>
      <c r="J367">
        <v>0</v>
      </c>
      <c r="K367">
        <v>0</v>
      </c>
      <c r="S367" t="s">
        <v>4</v>
      </c>
    </row>
    <row r="368" spans="1:19" x14ac:dyDescent="0.25">
      <c r="A368" s="2">
        <v>40148</v>
      </c>
      <c r="B368" s="3">
        <v>0.29236111111111113</v>
      </c>
      <c r="C368" s="1">
        <v>106</v>
      </c>
      <c r="D368" t="s">
        <v>19</v>
      </c>
      <c r="E368" s="1">
        <v>1</v>
      </c>
      <c r="F368" s="1">
        <v>0</v>
      </c>
      <c r="G368" s="1">
        <v>0</v>
      </c>
      <c r="H368">
        <v>0</v>
      </c>
      <c r="I368">
        <v>0</v>
      </c>
      <c r="J368">
        <v>0</v>
      </c>
      <c r="K368">
        <v>0</v>
      </c>
      <c r="S368" t="s">
        <v>4</v>
      </c>
    </row>
    <row r="369" spans="1:19" x14ac:dyDescent="0.25">
      <c r="A369" s="2">
        <v>40149</v>
      </c>
      <c r="B369" s="3">
        <v>0.30902777777777779</v>
      </c>
      <c r="C369" s="1">
        <v>114</v>
      </c>
      <c r="D369" t="s">
        <v>19</v>
      </c>
      <c r="E369" s="1">
        <v>1</v>
      </c>
      <c r="F369" s="1">
        <v>0</v>
      </c>
      <c r="G369" s="1">
        <v>0</v>
      </c>
      <c r="H369">
        <v>0</v>
      </c>
      <c r="I369">
        <v>0</v>
      </c>
      <c r="J369">
        <v>0</v>
      </c>
      <c r="K369">
        <v>0</v>
      </c>
      <c r="S369" t="s">
        <v>4</v>
      </c>
    </row>
    <row r="370" spans="1:19" x14ac:dyDescent="0.25">
      <c r="A370" s="2">
        <v>40150</v>
      </c>
      <c r="B370" s="3">
        <v>0.28680555555555554</v>
      </c>
      <c r="C370" s="1">
        <v>118</v>
      </c>
      <c r="D370" t="s">
        <v>19</v>
      </c>
      <c r="E370" s="1">
        <v>1</v>
      </c>
      <c r="F370" s="1">
        <v>0</v>
      </c>
      <c r="G370" s="1">
        <v>0</v>
      </c>
      <c r="H370">
        <v>0</v>
      </c>
      <c r="I370">
        <v>0</v>
      </c>
      <c r="J370">
        <v>0</v>
      </c>
      <c r="K370">
        <v>0</v>
      </c>
      <c r="S370" t="s">
        <v>4</v>
      </c>
    </row>
    <row r="371" spans="1:19" x14ac:dyDescent="0.25">
      <c r="A371" s="2">
        <v>40154</v>
      </c>
      <c r="B371" s="3">
        <v>0.30972222222222223</v>
      </c>
      <c r="C371" s="1">
        <v>105</v>
      </c>
      <c r="D371" t="s">
        <v>19</v>
      </c>
      <c r="E371" s="1">
        <v>1</v>
      </c>
      <c r="F371" s="1">
        <v>0</v>
      </c>
      <c r="G371" s="1">
        <v>0</v>
      </c>
      <c r="H371">
        <v>0</v>
      </c>
      <c r="I371">
        <v>0</v>
      </c>
      <c r="J371">
        <v>0</v>
      </c>
      <c r="K371">
        <v>0</v>
      </c>
      <c r="S371" t="s">
        <v>4</v>
      </c>
    </row>
    <row r="372" spans="1:19" x14ac:dyDescent="0.25">
      <c r="A372" s="2">
        <v>40155</v>
      </c>
      <c r="B372" s="3">
        <v>0.25277777777777777</v>
      </c>
      <c r="C372" s="1">
        <v>119</v>
      </c>
      <c r="D372" t="s">
        <v>19</v>
      </c>
      <c r="E372" s="1">
        <v>1</v>
      </c>
      <c r="F372" s="1">
        <v>0</v>
      </c>
      <c r="G372" s="1">
        <v>0</v>
      </c>
      <c r="H372">
        <v>0</v>
      </c>
      <c r="I372">
        <v>0</v>
      </c>
      <c r="J372">
        <v>0</v>
      </c>
      <c r="K372">
        <v>0</v>
      </c>
      <c r="S372" t="s">
        <v>4</v>
      </c>
    </row>
    <row r="373" spans="1:19" x14ac:dyDescent="0.25">
      <c r="A373" s="2">
        <v>40157</v>
      </c>
      <c r="B373" s="3">
        <v>0.28263888888888888</v>
      </c>
      <c r="C373" s="1">
        <v>119</v>
      </c>
      <c r="D373" t="s">
        <v>19</v>
      </c>
      <c r="E373" s="1">
        <v>1</v>
      </c>
      <c r="F373" s="1">
        <v>0</v>
      </c>
      <c r="G373" s="1">
        <v>0</v>
      </c>
      <c r="H373">
        <v>0</v>
      </c>
      <c r="I373">
        <v>0</v>
      </c>
      <c r="J373">
        <v>0</v>
      </c>
      <c r="K373">
        <v>0</v>
      </c>
      <c r="S373" t="s">
        <v>4</v>
      </c>
    </row>
    <row r="374" spans="1:19" x14ac:dyDescent="0.25">
      <c r="A374" s="2">
        <v>40158</v>
      </c>
      <c r="B374" s="3">
        <v>0.26041666666666669</v>
      </c>
      <c r="C374" s="1">
        <v>125</v>
      </c>
      <c r="D374" t="s">
        <v>19</v>
      </c>
      <c r="E374" s="1">
        <v>1</v>
      </c>
      <c r="F374" s="1">
        <v>0</v>
      </c>
      <c r="G374" s="1">
        <v>0</v>
      </c>
      <c r="H374">
        <v>0</v>
      </c>
      <c r="I374">
        <v>0</v>
      </c>
      <c r="J374">
        <v>0</v>
      </c>
      <c r="K374">
        <v>0</v>
      </c>
      <c r="S374" t="s">
        <v>4</v>
      </c>
    </row>
    <row r="375" spans="1:19" x14ac:dyDescent="0.25">
      <c r="A375" s="2">
        <v>40159</v>
      </c>
      <c r="B375" s="3">
        <v>0.25555555555555559</v>
      </c>
      <c r="C375" s="1">
        <v>128</v>
      </c>
      <c r="D375" t="s">
        <v>19</v>
      </c>
      <c r="E375" s="1">
        <v>1</v>
      </c>
      <c r="F375" s="1">
        <v>0</v>
      </c>
      <c r="G375" s="1">
        <v>0</v>
      </c>
      <c r="H375">
        <v>0</v>
      </c>
      <c r="I375">
        <v>0</v>
      </c>
      <c r="J375">
        <v>0</v>
      </c>
      <c r="K375">
        <v>0</v>
      </c>
      <c r="S375" t="s">
        <v>4</v>
      </c>
    </row>
    <row r="376" spans="1:19" x14ac:dyDescent="0.25">
      <c r="A376" s="2">
        <v>40162</v>
      </c>
      <c r="B376" s="3">
        <v>0.28819444444444448</v>
      </c>
      <c r="C376" s="1">
        <v>116</v>
      </c>
      <c r="D376" t="s">
        <v>19</v>
      </c>
      <c r="E376" s="1">
        <v>1</v>
      </c>
      <c r="F376" s="1">
        <v>0</v>
      </c>
      <c r="G376" s="1">
        <v>0</v>
      </c>
      <c r="H376">
        <v>0</v>
      </c>
      <c r="I376">
        <v>0</v>
      </c>
      <c r="J376">
        <v>0</v>
      </c>
      <c r="K376">
        <v>0</v>
      </c>
      <c r="S376" t="s">
        <v>4</v>
      </c>
    </row>
    <row r="377" spans="1:19" x14ac:dyDescent="0.25">
      <c r="A377" s="2">
        <v>40164</v>
      </c>
      <c r="B377" s="3">
        <v>0.27986111111111112</v>
      </c>
      <c r="C377" s="1">
        <v>114</v>
      </c>
      <c r="D377" t="s">
        <v>19</v>
      </c>
      <c r="E377" s="1">
        <v>1</v>
      </c>
      <c r="F377" s="1">
        <v>0</v>
      </c>
      <c r="G377" s="1">
        <v>0</v>
      </c>
      <c r="H377">
        <v>0</v>
      </c>
      <c r="I377">
        <v>0</v>
      </c>
      <c r="J377">
        <v>0</v>
      </c>
      <c r="K377">
        <v>0</v>
      </c>
      <c r="S377" t="s">
        <v>4</v>
      </c>
    </row>
    <row r="378" spans="1:19" x14ac:dyDescent="0.25">
      <c r="A378" s="2">
        <v>40166</v>
      </c>
      <c r="B378" s="3">
        <v>0.66805555555555562</v>
      </c>
      <c r="C378" s="1">
        <v>132</v>
      </c>
      <c r="D378" t="s">
        <v>19</v>
      </c>
      <c r="E378" s="1">
        <v>1</v>
      </c>
      <c r="F378" s="1">
        <v>0</v>
      </c>
      <c r="G378" s="1">
        <v>0</v>
      </c>
      <c r="H378">
        <v>0</v>
      </c>
      <c r="I378">
        <v>0</v>
      </c>
      <c r="J378">
        <v>0</v>
      </c>
      <c r="K378">
        <v>0</v>
      </c>
      <c r="S378" t="s">
        <v>4</v>
      </c>
    </row>
    <row r="379" spans="1:19" x14ac:dyDescent="0.25">
      <c r="A379" s="2">
        <v>40168</v>
      </c>
      <c r="B379" s="3">
        <v>0.36180555555555555</v>
      </c>
      <c r="C379" s="1">
        <v>115</v>
      </c>
      <c r="D379" t="s">
        <v>19</v>
      </c>
      <c r="E379" s="1">
        <v>1</v>
      </c>
      <c r="F379" s="1">
        <v>0</v>
      </c>
      <c r="G379" s="1">
        <v>0</v>
      </c>
      <c r="H379">
        <v>0</v>
      </c>
      <c r="I379">
        <v>0</v>
      </c>
      <c r="J379">
        <v>0</v>
      </c>
      <c r="K379">
        <v>0</v>
      </c>
      <c r="S379" t="s">
        <v>4</v>
      </c>
    </row>
    <row r="380" spans="1:19" x14ac:dyDescent="0.25">
      <c r="A380" s="2">
        <v>40170</v>
      </c>
      <c r="B380" s="3">
        <v>0.24097222222222223</v>
      </c>
      <c r="C380" s="1">
        <v>110</v>
      </c>
      <c r="D380" t="s">
        <v>19</v>
      </c>
      <c r="E380" s="1">
        <v>1</v>
      </c>
      <c r="F380" s="1">
        <v>0</v>
      </c>
      <c r="G380" s="1">
        <v>0</v>
      </c>
      <c r="H380">
        <v>0</v>
      </c>
      <c r="I380">
        <v>0</v>
      </c>
      <c r="J380">
        <v>0</v>
      </c>
      <c r="K380">
        <v>0</v>
      </c>
      <c r="S380" t="s">
        <v>4</v>
      </c>
    </row>
    <row r="381" spans="1:19" x14ac:dyDescent="0.25">
      <c r="A381" s="2">
        <v>40170</v>
      </c>
      <c r="B381" s="3">
        <v>0.85</v>
      </c>
      <c r="C381" s="1">
        <v>96</v>
      </c>
      <c r="D381" t="s">
        <v>19</v>
      </c>
      <c r="E381" s="1">
        <v>0</v>
      </c>
      <c r="F381" s="1">
        <v>1</v>
      </c>
      <c r="G381" s="1">
        <v>0</v>
      </c>
      <c r="H381">
        <v>0</v>
      </c>
      <c r="I381">
        <v>0</v>
      </c>
      <c r="J381">
        <v>0</v>
      </c>
      <c r="K381">
        <v>0</v>
      </c>
      <c r="S381" t="s">
        <v>20</v>
      </c>
    </row>
    <row r="382" spans="1:19" x14ac:dyDescent="0.25">
      <c r="A382" s="2">
        <v>40171</v>
      </c>
      <c r="B382" s="3">
        <v>0.29791666666666666</v>
      </c>
      <c r="C382" s="1">
        <v>116</v>
      </c>
      <c r="D382" t="s">
        <v>19</v>
      </c>
      <c r="E382" s="1">
        <v>1</v>
      </c>
      <c r="F382" s="1">
        <v>0</v>
      </c>
      <c r="G382" s="1">
        <v>0</v>
      </c>
      <c r="H382">
        <v>0</v>
      </c>
      <c r="I382">
        <v>0</v>
      </c>
      <c r="J382">
        <v>0</v>
      </c>
      <c r="K382">
        <v>0</v>
      </c>
      <c r="S382" t="s">
        <v>4</v>
      </c>
    </row>
    <row r="383" spans="1:19" x14ac:dyDescent="0.25">
      <c r="A383" s="2">
        <v>40172</v>
      </c>
      <c r="B383" s="3">
        <v>0.17152777777777775</v>
      </c>
      <c r="C383" s="1">
        <v>125</v>
      </c>
      <c r="D383" t="s">
        <v>19</v>
      </c>
      <c r="E383" s="1">
        <v>1</v>
      </c>
      <c r="F383" s="1">
        <v>0</v>
      </c>
      <c r="G383" s="1">
        <v>0</v>
      </c>
      <c r="H383">
        <v>0</v>
      </c>
      <c r="I383">
        <v>0</v>
      </c>
      <c r="J383">
        <v>0</v>
      </c>
      <c r="K383">
        <v>0</v>
      </c>
      <c r="S383" t="s">
        <v>4</v>
      </c>
    </row>
    <row r="384" spans="1:19" x14ac:dyDescent="0.25">
      <c r="A384" s="2">
        <v>40173</v>
      </c>
      <c r="B384" s="3">
        <v>0.32500000000000001</v>
      </c>
      <c r="C384" s="1">
        <v>112</v>
      </c>
      <c r="D384" t="s">
        <v>19</v>
      </c>
      <c r="E384" s="1">
        <v>1</v>
      </c>
      <c r="F384" s="1">
        <v>0</v>
      </c>
      <c r="G384" s="1">
        <v>0</v>
      </c>
      <c r="H384">
        <v>0</v>
      </c>
      <c r="I384">
        <v>0</v>
      </c>
      <c r="J384">
        <v>0</v>
      </c>
      <c r="K384">
        <v>0</v>
      </c>
      <c r="S384" t="s">
        <v>4</v>
      </c>
    </row>
    <row r="385" spans="1:19" x14ac:dyDescent="0.25">
      <c r="A385" s="2">
        <v>40173</v>
      </c>
      <c r="B385" s="3">
        <v>0.58611111111111114</v>
      </c>
      <c r="C385" s="1">
        <v>103</v>
      </c>
      <c r="D385" t="s">
        <v>19</v>
      </c>
      <c r="E385" s="1">
        <v>0</v>
      </c>
      <c r="F385" s="1">
        <v>0</v>
      </c>
      <c r="G385" s="1">
        <v>1</v>
      </c>
      <c r="H385">
        <v>0</v>
      </c>
      <c r="I385">
        <v>0</v>
      </c>
      <c r="J385">
        <v>0</v>
      </c>
      <c r="K385">
        <v>0</v>
      </c>
      <c r="S385" t="s">
        <v>6</v>
      </c>
    </row>
    <row r="386" spans="1:19" x14ac:dyDescent="0.25">
      <c r="A386" s="2">
        <v>40174</v>
      </c>
      <c r="B386" s="3">
        <v>0.34791666666666665</v>
      </c>
      <c r="C386" s="1">
        <v>112</v>
      </c>
      <c r="D386" t="s">
        <v>19</v>
      </c>
      <c r="E386" s="1">
        <v>0</v>
      </c>
      <c r="F386" s="1">
        <v>0</v>
      </c>
      <c r="G386" s="1">
        <v>1</v>
      </c>
      <c r="H386">
        <v>0</v>
      </c>
      <c r="I386">
        <v>0</v>
      </c>
      <c r="J386">
        <v>0</v>
      </c>
      <c r="K386">
        <v>0</v>
      </c>
      <c r="S386" t="s">
        <v>6</v>
      </c>
    </row>
    <row r="387" spans="1:19" x14ac:dyDescent="0.25">
      <c r="A387" s="2">
        <v>40175</v>
      </c>
      <c r="B387" s="3">
        <v>0.20555555555555557</v>
      </c>
      <c r="C387" s="1">
        <v>105</v>
      </c>
      <c r="D387" t="s">
        <v>19</v>
      </c>
      <c r="E387" s="1">
        <v>1</v>
      </c>
      <c r="F387" s="1">
        <v>0</v>
      </c>
      <c r="G387" s="1">
        <v>0</v>
      </c>
      <c r="H387">
        <v>0</v>
      </c>
      <c r="I387">
        <v>0</v>
      </c>
      <c r="J387">
        <v>0</v>
      </c>
      <c r="K387">
        <v>0</v>
      </c>
      <c r="S387" t="s">
        <v>4</v>
      </c>
    </row>
    <row r="388" spans="1:19" x14ac:dyDescent="0.25">
      <c r="A388" s="2">
        <v>40175</v>
      </c>
      <c r="B388" s="3">
        <v>0.45069444444444445</v>
      </c>
      <c r="C388" s="1">
        <v>143</v>
      </c>
      <c r="D388" t="s">
        <v>19</v>
      </c>
      <c r="E388" s="1">
        <v>0</v>
      </c>
      <c r="F388" s="1">
        <v>0</v>
      </c>
      <c r="G388" s="1">
        <v>1</v>
      </c>
      <c r="H388">
        <v>0</v>
      </c>
      <c r="I388">
        <v>0</v>
      </c>
      <c r="J388">
        <v>0</v>
      </c>
      <c r="K388">
        <v>0</v>
      </c>
      <c r="S388" t="s">
        <v>6</v>
      </c>
    </row>
    <row r="389" spans="1:19" x14ac:dyDescent="0.25">
      <c r="A389" s="2">
        <v>40175</v>
      </c>
      <c r="B389" s="3">
        <v>0.85972222222222217</v>
      </c>
      <c r="C389" s="1">
        <v>135</v>
      </c>
      <c r="D389" t="s">
        <v>19</v>
      </c>
      <c r="E389" s="1">
        <v>0</v>
      </c>
      <c r="F389" s="1">
        <v>0</v>
      </c>
      <c r="G389" s="1">
        <v>1</v>
      </c>
      <c r="H389">
        <v>0</v>
      </c>
      <c r="I389">
        <v>0</v>
      </c>
      <c r="J389">
        <v>0</v>
      </c>
      <c r="K389">
        <v>0</v>
      </c>
      <c r="S389" t="s">
        <v>6</v>
      </c>
    </row>
    <row r="390" spans="1:19" x14ac:dyDescent="0.25">
      <c r="A390" s="2">
        <v>40176</v>
      </c>
      <c r="B390" s="3">
        <v>0.21597222222222223</v>
      </c>
      <c r="C390" s="1">
        <v>106</v>
      </c>
      <c r="D390" t="s">
        <v>19</v>
      </c>
      <c r="E390" s="1">
        <v>1</v>
      </c>
      <c r="F390" s="1">
        <v>0</v>
      </c>
      <c r="G390" s="1">
        <v>0</v>
      </c>
      <c r="H390">
        <v>0</v>
      </c>
      <c r="I390">
        <v>0</v>
      </c>
      <c r="J390">
        <v>0</v>
      </c>
      <c r="K390">
        <v>0</v>
      </c>
      <c r="S390" t="s">
        <v>4</v>
      </c>
    </row>
    <row r="391" spans="1:19" x14ac:dyDescent="0.25">
      <c r="A391" s="2">
        <v>40176</v>
      </c>
      <c r="B391" s="3">
        <v>0.59652777777777777</v>
      </c>
      <c r="C391" s="1">
        <v>132</v>
      </c>
      <c r="D391" t="s">
        <v>19</v>
      </c>
      <c r="E391" s="1">
        <v>0</v>
      </c>
      <c r="F391" s="1">
        <v>0</v>
      </c>
      <c r="G391" s="1">
        <v>1</v>
      </c>
      <c r="H391">
        <v>0</v>
      </c>
      <c r="I391">
        <v>0</v>
      </c>
      <c r="J391">
        <v>0</v>
      </c>
      <c r="K391">
        <v>0</v>
      </c>
      <c r="S391" t="s">
        <v>6</v>
      </c>
    </row>
    <row r="392" spans="1:19" x14ac:dyDescent="0.25">
      <c r="A392" s="2">
        <v>40177</v>
      </c>
      <c r="B392" s="3">
        <v>0.25069444444444444</v>
      </c>
      <c r="C392" s="1">
        <v>107</v>
      </c>
      <c r="D392" t="s">
        <v>19</v>
      </c>
      <c r="E392" s="1">
        <v>1</v>
      </c>
      <c r="F392" s="1">
        <v>0</v>
      </c>
      <c r="G392" s="1">
        <v>0</v>
      </c>
      <c r="H392">
        <v>0</v>
      </c>
      <c r="I392">
        <v>0</v>
      </c>
      <c r="J392">
        <v>0</v>
      </c>
      <c r="K392">
        <v>0</v>
      </c>
      <c r="S392" t="s">
        <v>4</v>
      </c>
    </row>
    <row r="393" spans="1:19" x14ac:dyDescent="0.25">
      <c r="A393" s="2">
        <v>40178</v>
      </c>
      <c r="B393" s="3">
        <v>0.29583333333333334</v>
      </c>
      <c r="C393" s="1">
        <v>110</v>
      </c>
      <c r="D393" t="s">
        <v>19</v>
      </c>
      <c r="E393" s="1">
        <v>1</v>
      </c>
      <c r="F393" s="1">
        <v>0</v>
      </c>
      <c r="G393" s="1">
        <v>0</v>
      </c>
      <c r="H393">
        <v>0</v>
      </c>
      <c r="I393">
        <v>0</v>
      </c>
      <c r="J393">
        <v>0</v>
      </c>
      <c r="K393">
        <v>0</v>
      </c>
      <c r="S393" t="s">
        <v>4</v>
      </c>
    </row>
    <row r="394" spans="1:19" x14ac:dyDescent="0.25">
      <c r="A394" s="2">
        <v>40179</v>
      </c>
      <c r="B394" s="3">
        <v>0.22083333333333333</v>
      </c>
      <c r="C394" s="1">
        <v>115</v>
      </c>
      <c r="D394" t="s">
        <v>19</v>
      </c>
      <c r="E394" s="1">
        <v>1</v>
      </c>
      <c r="F394" s="1">
        <v>0</v>
      </c>
      <c r="G394" s="1">
        <v>0</v>
      </c>
      <c r="H394">
        <v>0</v>
      </c>
      <c r="I394">
        <v>0</v>
      </c>
      <c r="J394">
        <v>0</v>
      </c>
      <c r="K394">
        <v>0</v>
      </c>
      <c r="S394" t="s">
        <v>4</v>
      </c>
    </row>
    <row r="395" spans="1:19" x14ac:dyDescent="0.25">
      <c r="A395" s="2">
        <v>40180</v>
      </c>
      <c r="B395" s="3">
        <v>0.29097222222222224</v>
      </c>
      <c r="C395" s="1">
        <v>100</v>
      </c>
      <c r="D395" t="s">
        <v>19</v>
      </c>
      <c r="E395" s="1">
        <v>1</v>
      </c>
      <c r="F395" s="1">
        <v>0</v>
      </c>
      <c r="G395" s="1">
        <v>0</v>
      </c>
      <c r="H395">
        <v>0</v>
      </c>
      <c r="I395">
        <v>0</v>
      </c>
      <c r="J395">
        <v>0</v>
      </c>
      <c r="K395">
        <v>0</v>
      </c>
      <c r="S395" t="s">
        <v>4</v>
      </c>
    </row>
    <row r="396" spans="1:19" x14ac:dyDescent="0.25">
      <c r="A396" s="2">
        <v>40180</v>
      </c>
      <c r="B396" s="3">
        <v>0.58611111111111114</v>
      </c>
      <c r="C396" s="1">
        <v>124</v>
      </c>
      <c r="D396" t="s">
        <v>19</v>
      </c>
      <c r="E396" s="1">
        <v>0</v>
      </c>
      <c r="F396" s="1">
        <v>0</v>
      </c>
      <c r="G396" s="1">
        <v>1</v>
      </c>
      <c r="H396">
        <v>0</v>
      </c>
      <c r="I396">
        <v>0</v>
      </c>
      <c r="J396">
        <v>0</v>
      </c>
      <c r="K396">
        <v>0</v>
      </c>
      <c r="S396" t="s">
        <v>6</v>
      </c>
    </row>
    <row r="397" spans="1:19" x14ac:dyDescent="0.25">
      <c r="A397" s="2">
        <v>40181</v>
      </c>
      <c r="B397" s="3">
        <v>0.27916666666666667</v>
      </c>
      <c r="C397" s="1">
        <v>93</v>
      </c>
      <c r="D397" t="s">
        <v>19</v>
      </c>
      <c r="E397" s="1">
        <v>1</v>
      </c>
      <c r="F397" s="1">
        <v>0</v>
      </c>
      <c r="G397" s="1">
        <v>0</v>
      </c>
      <c r="H397">
        <v>0</v>
      </c>
      <c r="I397">
        <v>0</v>
      </c>
      <c r="J397">
        <v>0</v>
      </c>
      <c r="K397">
        <v>0</v>
      </c>
      <c r="S397" t="s">
        <v>4</v>
      </c>
    </row>
    <row r="398" spans="1:19" x14ac:dyDescent="0.25">
      <c r="A398" s="2">
        <v>40182</v>
      </c>
      <c r="B398" s="3">
        <v>0.21875</v>
      </c>
      <c r="C398" s="1">
        <v>112</v>
      </c>
      <c r="D398" t="s">
        <v>19</v>
      </c>
      <c r="E398" s="1">
        <v>1</v>
      </c>
      <c r="F398" s="1">
        <v>0</v>
      </c>
      <c r="G398" s="1">
        <v>0</v>
      </c>
      <c r="H398">
        <v>0</v>
      </c>
      <c r="I398">
        <v>0</v>
      </c>
      <c r="J398">
        <v>0</v>
      </c>
      <c r="K398">
        <v>0</v>
      </c>
      <c r="S398" t="s">
        <v>4</v>
      </c>
    </row>
    <row r="399" spans="1:19" x14ac:dyDescent="0.25">
      <c r="A399" s="2">
        <v>40183</v>
      </c>
      <c r="B399" s="3">
        <v>0.25069444444444444</v>
      </c>
      <c r="C399" s="1">
        <v>99</v>
      </c>
      <c r="D399" t="s">
        <v>19</v>
      </c>
      <c r="E399" s="1">
        <v>1</v>
      </c>
      <c r="F399" s="1">
        <v>0</v>
      </c>
      <c r="G399" s="1">
        <v>0</v>
      </c>
      <c r="H399">
        <v>0</v>
      </c>
      <c r="I399">
        <v>0</v>
      </c>
      <c r="J399">
        <v>0</v>
      </c>
      <c r="K399">
        <v>0</v>
      </c>
      <c r="S399" t="s">
        <v>4</v>
      </c>
    </row>
    <row r="400" spans="1:19" x14ac:dyDescent="0.25">
      <c r="A400" s="2">
        <v>40183</v>
      </c>
      <c r="B400" s="3">
        <v>0.69374999999999998</v>
      </c>
      <c r="C400" s="1">
        <v>101</v>
      </c>
      <c r="D400" t="s">
        <v>19</v>
      </c>
      <c r="E400" s="1">
        <v>0</v>
      </c>
      <c r="F400" s="1">
        <v>1</v>
      </c>
      <c r="G400" s="1">
        <v>0</v>
      </c>
      <c r="H400">
        <v>0</v>
      </c>
      <c r="I400">
        <v>0</v>
      </c>
      <c r="J400">
        <v>0</v>
      </c>
      <c r="K400">
        <v>0</v>
      </c>
      <c r="S400" t="s">
        <v>20</v>
      </c>
    </row>
    <row r="401" spans="1:19" x14ac:dyDescent="0.25">
      <c r="A401" s="2">
        <v>40184</v>
      </c>
      <c r="B401" s="3">
        <v>0.20625000000000002</v>
      </c>
      <c r="C401" s="1">
        <v>109</v>
      </c>
      <c r="D401" t="s">
        <v>19</v>
      </c>
      <c r="E401" s="1">
        <v>1</v>
      </c>
      <c r="F401" s="1">
        <v>0</v>
      </c>
      <c r="G401" s="1">
        <v>0</v>
      </c>
      <c r="H401">
        <v>0</v>
      </c>
      <c r="I401">
        <v>0</v>
      </c>
      <c r="J401">
        <v>0</v>
      </c>
      <c r="K401">
        <v>0</v>
      </c>
      <c r="S401" t="s">
        <v>4</v>
      </c>
    </row>
    <row r="402" spans="1:19" x14ac:dyDescent="0.25">
      <c r="A402" s="2">
        <v>40185</v>
      </c>
      <c r="B402" s="3">
        <v>0.21180555555555555</v>
      </c>
      <c r="C402" s="1">
        <v>104</v>
      </c>
      <c r="D402" t="s">
        <v>19</v>
      </c>
      <c r="E402" s="1">
        <v>1</v>
      </c>
      <c r="F402" s="1">
        <v>0</v>
      </c>
      <c r="G402" s="1">
        <v>0</v>
      </c>
      <c r="H402">
        <v>0</v>
      </c>
      <c r="I402">
        <v>0</v>
      </c>
      <c r="J402">
        <v>0</v>
      </c>
      <c r="K402">
        <v>0</v>
      </c>
      <c r="S402" t="s">
        <v>4</v>
      </c>
    </row>
    <row r="403" spans="1:19" x14ac:dyDescent="0.25">
      <c r="A403" s="2">
        <v>40186</v>
      </c>
      <c r="B403" s="3">
        <v>0.12152777777777778</v>
      </c>
      <c r="C403" s="1">
        <v>103</v>
      </c>
      <c r="D403" t="s">
        <v>19</v>
      </c>
      <c r="E403" s="1">
        <v>1</v>
      </c>
      <c r="F403" s="1">
        <v>0</v>
      </c>
      <c r="G403" s="1">
        <v>0</v>
      </c>
      <c r="H403">
        <v>0</v>
      </c>
      <c r="I403">
        <v>0</v>
      </c>
      <c r="J403">
        <v>0</v>
      </c>
      <c r="K403">
        <v>0</v>
      </c>
      <c r="S403" t="s">
        <v>4</v>
      </c>
    </row>
    <row r="404" spans="1:19" x14ac:dyDescent="0.25">
      <c r="A404" s="2">
        <v>40186</v>
      </c>
      <c r="B404" s="3">
        <v>0.74236111111111114</v>
      </c>
      <c r="C404" s="1">
        <v>131</v>
      </c>
      <c r="D404" t="s">
        <v>19</v>
      </c>
      <c r="E404" s="1">
        <v>0</v>
      </c>
      <c r="F404" s="1">
        <v>1</v>
      </c>
      <c r="G404" s="1">
        <v>0</v>
      </c>
      <c r="H404">
        <v>0</v>
      </c>
      <c r="I404">
        <v>0</v>
      </c>
      <c r="J404">
        <v>0</v>
      </c>
      <c r="K404">
        <v>0</v>
      </c>
      <c r="S404" t="s">
        <v>20</v>
      </c>
    </row>
    <row r="405" spans="1:19" x14ac:dyDescent="0.25">
      <c r="A405" s="2">
        <v>40187</v>
      </c>
      <c r="B405" s="3">
        <v>0.28541666666666665</v>
      </c>
      <c r="C405" s="1">
        <v>123</v>
      </c>
      <c r="D405" t="s">
        <v>19</v>
      </c>
      <c r="E405" s="1">
        <v>1</v>
      </c>
      <c r="F405" s="1">
        <v>0</v>
      </c>
      <c r="G405" s="1">
        <v>0</v>
      </c>
      <c r="H405">
        <v>0</v>
      </c>
      <c r="I405">
        <v>0</v>
      </c>
      <c r="J405">
        <v>0</v>
      </c>
      <c r="K405">
        <v>0</v>
      </c>
      <c r="S405" t="s">
        <v>4</v>
      </c>
    </row>
    <row r="406" spans="1:19" x14ac:dyDescent="0.25">
      <c r="A406" s="2">
        <v>40188</v>
      </c>
      <c r="B406" s="3">
        <v>0.26041666666666669</v>
      </c>
      <c r="C406" s="1">
        <v>104</v>
      </c>
      <c r="D406" t="s">
        <v>19</v>
      </c>
      <c r="E406" s="1">
        <v>1</v>
      </c>
      <c r="F406" s="1">
        <v>0</v>
      </c>
      <c r="G406" s="1">
        <v>0</v>
      </c>
      <c r="H406">
        <v>0</v>
      </c>
      <c r="I406">
        <v>0</v>
      </c>
      <c r="J406">
        <v>0</v>
      </c>
      <c r="K406">
        <v>0</v>
      </c>
      <c r="S406" t="s">
        <v>4</v>
      </c>
    </row>
    <row r="407" spans="1:19" x14ac:dyDescent="0.25">
      <c r="A407" s="2">
        <v>40188</v>
      </c>
      <c r="B407" s="3">
        <v>0.75902777777777775</v>
      </c>
      <c r="C407" s="1">
        <v>149</v>
      </c>
      <c r="D407" t="s">
        <v>19</v>
      </c>
      <c r="E407" s="1">
        <v>0</v>
      </c>
      <c r="F407" s="1">
        <v>1</v>
      </c>
      <c r="G407" s="1">
        <v>0</v>
      </c>
      <c r="H407">
        <v>0</v>
      </c>
      <c r="I407">
        <v>0</v>
      </c>
      <c r="J407">
        <v>0</v>
      </c>
      <c r="K407">
        <v>0</v>
      </c>
      <c r="S407" t="s">
        <v>20</v>
      </c>
    </row>
    <row r="408" spans="1:19" x14ac:dyDescent="0.25">
      <c r="A408" s="2">
        <v>40189</v>
      </c>
      <c r="B408" s="3">
        <v>0.30069444444444443</v>
      </c>
      <c r="C408" s="1">
        <v>110</v>
      </c>
      <c r="D408" t="s">
        <v>19</v>
      </c>
      <c r="E408" s="1">
        <v>1</v>
      </c>
      <c r="F408" s="1">
        <v>0</v>
      </c>
      <c r="G408" s="1">
        <v>0</v>
      </c>
      <c r="H408">
        <v>0</v>
      </c>
      <c r="I408">
        <v>0</v>
      </c>
      <c r="J408">
        <v>0</v>
      </c>
      <c r="K408">
        <v>0</v>
      </c>
      <c r="S408" t="s">
        <v>4</v>
      </c>
    </row>
    <row r="409" spans="1:19" x14ac:dyDescent="0.25">
      <c r="A409" s="2">
        <v>40189</v>
      </c>
      <c r="B409" s="3">
        <v>0.45555555555555555</v>
      </c>
      <c r="C409" s="1">
        <v>105</v>
      </c>
      <c r="D409" t="s">
        <v>19</v>
      </c>
      <c r="E409" s="1">
        <v>0</v>
      </c>
      <c r="F409" s="1">
        <v>0</v>
      </c>
      <c r="G409" s="1">
        <v>1</v>
      </c>
      <c r="H409">
        <v>0</v>
      </c>
      <c r="I409">
        <v>0</v>
      </c>
      <c r="J409">
        <v>0</v>
      </c>
      <c r="K409">
        <v>0</v>
      </c>
      <c r="S409" t="s">
        <v>6</v>
      </c>
    </row>
    <row r="410" spans="1:19" x14ac:dyDescent="0.25">
      <c r="A410" s="2">
        <v>40190</v>
      </c>
      <c r="B410" s="3">
        <v>0.3034722222222222</v>
      </c>
      <c r="C410" s="1">
        <v>115</v>
      </c>
      <c r="D410" t="s">
        <v>19</v>
      </c>
      <c r="E410" s="1">
        <v>1</v>
      </c>
      <c r="F410" s="1">
        <v>0</v>
      </c>
      <c r="G410" s="1">
        <v>0</v>
      </c>
      <c r="H410">
        <v>0</v>
      </c>
      <c r="I410">
        <v>0</v>
      </c>
      <c r="J410">
        <v>0</v>
      </c>
      <c r="K410">
        <v>0</v>
      </c>
      <c r="S410" t="s">
        <v>4</v>
      </c>
    </row>
    <row r="411" spans="1:19" x14ac:dyDescent="0.25">
      <c r="A411" s="2">
        <v>40191</v>
      </c>
      <c r="B411" s="3">
        <v>0.15833333333333333</v>
      </c>
      <c r="C411" s="1">
        <v>89</v>
      </c>
      <c r="D411" t="s">
        <v>19</v>
      </c>
      <c r="E411" s="1">
        <v>1</v>
      </c>
      <c r="F411" s="1">
        <v>0</v>
      </c>
      <c r="G411" s="1">
        <v>0</v>
      </c>
      <c r="H411">
        <v>0</v>
      </c>
      <c r="I411">
        <v>0</v>
      </c>
      <c r="J411">
        <v>0</v>
      </c>
      <c r="K411">
        <v>0</v>
      </c>
      <c r="S411" t="s">
        <v>4</v>
      </c>
    </row>
    <row r="412" spans="1:19" x14ac:dyDescent="0.25">
      <c r="A412" s="2">
        <v>40192</v>
      </c>
      <c r="B412" s="3">
        <v>0.25694444444444448</v>
      </c>
      <c r="C412" s="1">
        <v>110</v>
      </c>
      <c r="D412" t="s">
        <v>19</v>
      </c>
      <c r="E412" s="1">
        <v>1</v>
      </c>
      <c r="F412" s="1">
        <v>0</v>
      </c>
      <c r="G412" s="1">
        <v>0</v>
      </c>
      <c r="H412">
        <v>0</v>
      </c>
      <c r="I412">
        <v>0</v>
      </c>
      <c r="J412">
        <v>0</v>
      </c>
      <c r="K412">
        <v>0</v>
      </c>
      <c r="S412" t="s">
        <v>4</v>
      </c>
    </row>
    <row r="413" spans="1:19" x14ac:dyDescent="0.25">
      <c r="A413" s="2">
        <v>40193</v>
      </c>
      <c r="B413" s="3">
        <v>0.26874999999999999</v>
      </c>
      <c r="C413" s="1">
        <v>119</v>
      </c>
      <c r="D413" t="s">
        <v>19</v>
      </c>
      <c r="E413" s="1">
        <v>1</v>
      </c>
      <c r="F413" s="1">
        <v>0</v>
      </c>
      <c r="G413" s="1">
        <v>0</v>
      </c>
      <c r="H413">
        <v>0</v>
      </c>
      <c r="I413">
        <v>0</v>
      </c>
      <c r="J413">
        <v>0</v>
      </c>
      <c r="K413">
        <v>0</v>
      </c>
      <c r="S413" t="s">
        <v>4</v>
      </c>
    </row>
    <row r="414" spans="1:19" x14ac:dyDescent="0.25">
      <c r="A414" s="2">
        <v>40194</v>
      </c>
      <c r="B414" s="3">
        <v>0.24930555555555556</v>
      </c>
      <c r="C414" s="1">
        <v>102</v>
      </c>
      <c r="D414" t="s">
        <v>19</v>
      </c>
      <c r="E414" s="1">
        <v>1</v>
      </c>
      <c r="F414" s="1">
        <v>0</v>
      </c>
      <c r="G414" s="1">
        <v>0</v>
      </c>
      <c r="H414">
        <v>0</v>
      </c>
      <c r="I414">
        <v>0</v>
      </c>
      <c r="J414">
        <v>0</v>
      </c>
      <c r="K414">
        <v>0</v>
      </c>
      <c r="S414" t="s">
        <v>4</v>
      </c>
    </row>
    <row r="415" spans="1:19" x14ac:dyDescent="0.25">
      <c r="A415" s="2">
        <v>40195</v>
      </c>
      <c r="B415" s="3">
        <v>0.34652777777777777</v>
      </c>
      <c r="C415" s="1">
        <v>93</v>
      </c>
      <c r="D415" t="s">
        <v>19</v>
      </c>
      <c r="E415" s="1">
        <v>1</v>
      </c>
      <c r="F415" s="1">
        <v>0</v>
      </c>
      <c r="G415" s="1">
        <v>0</v>
      </c>
      <c r="H415">
        <v>0</v>
      </c>
      <c r="I415">
        <v>0</v>
      </c>
      <c r="J415">
        <v>0</v>
      </c>
      <c r="K415">
        <v>0</v>
      </c>
      <c r="S415" t="s">
        <v>4</v>
      </c>
    </row>
    <row r="416" spans="1:19" x14ac:dyDescent="0.25">
      <c r="A416" s="2">
        <v>40196</v>
      </c>
      <c r="B416" s="3">
        <v>0.26805555555555555</v>
      </c>
      <c r="C416" s="1">
        <v>111</v>
      </c>
      <c r="D416" t="s">
        <v>19</v>
      </c>
      <c r="E416" s="1">
        <v>1</v>
      </c>
      <c r="F416" s="1">
        <v>0</v>
      </c>
      <c r="G416" s="1">
        <v>0</v>
      </c>
      <c r="H416">
        <v>0</v>
      </c>
      <c r="I416">
        <v>0</v>
      </c>
      <c r="J416">
        <v>0</v>
      </c>
      <c r="K416">
        <v>0</v>
      </c>
      <c r="S416" t="s">
        <v>4</v>
      </c>
    </row>
    <row r="417" spans="1:19" x14ac:dyDescent="0.25">
      <c r="A417" s="2">
        <v>40196</v>
      </c>
      <c r="B417" s="3">
        <v>0.58263888888888882</v>
      </c>
      <c r="C417" s="1">
        <v>111</v>
      </c>
      <c r="D417" t="s">
        <v>19</v>
      </c>
      <c r="E417" s="1">
        <v>0</v>
      </c>
      <c r="F417" s="1">
        <v>1</v>
      </c>
      <c r="G417" s="1">
        <v>0</v>
      </c>
      <c r="H417">
        <v>0</v>
      </c>
      <c r="I417">
        <v>0</v>
      </c>
      <c r="J417">
        <v>0</v>
      </c>
      <c r="K417">
        <v>0</v>
      </c>
      <c r="S417" t="s">
        <v>20</v>
      </c>
    </row>
    <row r="418" spans="1:19" x14ac:dyDescent="0.25">
      <c r="A418" s="2">
        <v>40197</v>
      </c>
      <c r="B418" s="3">
        <v>0.26111111111111113</v>
      </c>
      <c r="C418" s="1">
        <v>126</v>
      </c>
      <c r="D418" t="s">
        <v>19</v>
      </c>
      <c r="E418" s="1">
        <v>1</v>
      </c>
      <c r="F418" s="1">
        <v>0</v>
      </c>
      <c r="G418" s="1">
        <v>0</v>
      </c>
      <c r="H418">
        <v>0</v>
      </c>
      <c r="I418">
        <v>0</v>
      </c>
      <c r="J418">
        <v>0</v>
      </c>
      <c r="K418">
        <v>0</v>
      </c>
      <c r="S418" t="s">
        <v>4</v>
      </c>
    </row>
    <row r="419" spans="1:19" x14ac:dyDescent="0.25">
      <c r="A419" s="2">
        <v>40198</v>
      </c>
      <c r="B419" s="3">
        <v>0.24444444444444446</v>
      </c>
      <c r="C419" s="1">
        <v>99</v>
      </c>
      <c r="D419" t="s">
        <v>19</v>
      </c>
      <c r="E419" s="1">
        <v>1</v>
      </c>
      <c r="F419" s="1">
        <v>0</v>
      </c>
      <c r="G419" s="1">
        <v>0</v>
      </c>
      <c r="H419">
        <v>0</v>
      </c>
      <c r="I419">
        <v>0</v>
      </c>
      <c r="J419">
        <v>0</v>
      </c>
      <c r="K419">
        <v>0</v>
      </c>
      <c r="S419" t="s">
        <v>4</v>
      </c>
    </row>
    <row r="420" spans="1:19" x14ac:dyDescent="0.25">
      <c r="A420" s="2">
        <v>40200</v>
      </c>
      <c r="B420" s="3">
        <v>0.20625000000000002</v>
      </c>
      <c r="C420" s="1">
        <v>102</v>
      </c>
      <c r="D420" t="s">
        <v>19</v>
      </c>
      <c r="E420" s="1">
        <v>1</v>
      </c>
      <c r="F420" s="1">
        <v>0</v>
      </c>
      <c r="G420" s="1">
        <v>0</v>
      </c>
      <c r="H420">
        <v>0</v>
      </c>
      <c r="I420">
        <v>0</v>
      </c>
      <c r="J420">
        <v>0</v>
      </c>
      <c r="K420">
        <v>0</v>
      </c>
      <c r="S420" t="s">
        <v>4</v>
      </c>
    </row>
    <row r="421" spans="1:19" x14ac:dyDescent="0.25">
      <c r="A421" s="2">
        <v>40201</v>
      </c>
      <c r="B421" s="3">
        <v>0.28750000000000003</v>
      </c>
      <c r="C421" s="1">
        <v>109</v>
      </c>
      <c r="D421" t="s">
        <v>19</v>
      </c>
      <c r="E421" s="1">
        <v>1</v>
      </c>
      <c r="F421" s="1">
        <v>0</v>
      </c>
      <c r="G421" s="1">
        <v>0</v>
      </c>
      <c r="H421">
        <v>0</v>
      </c>
      <c r="I421">
        <v>0</v>
      </c>
      <c r="J421">
        <v>0</v>
      </c>
      <c r="K421">
        <v>0</v>
      </c>
      <c r="S421" t="s">
        <v>4</v>
      </c>
    </row>
    <row r="422" spans="1:19" x14ac:dyDescent="0.25">
      <c r="A422" s="2">
        <v>40201</v>
      </c>
      <c r="B422" s="3">
        <v>0.77777777777777779</v>
      </c>
      <c r="C422" s="1">
        <v>108</v>
      </c>
      <c r="D422" t="s">
        <v>19</v>
      </c>
      <c r="E422" s="1">
        <v>0</v>
      </c>
      <c r="F422" s="1">
        <v>1</v>
      </c>
      <c r="G422" s="1">
        <v>0</v>
      </c>
      <c r="H422">
        <v>0</v>
      </c>
      <c r="I422">
        <v>0</v>
      </c>
      <c r="J422">
        <v>0</v>
      </c>
      <c r="K422">
        <v>0</v>
      </c>
      <c r="S422" t="s">
        <v>20</v>
      </c>
    </row>
    <row r="423" spans="1:19" x14ac:dyDescent="0.25">
      <c r="A423" s="2">
        <v>40202</v>
      </c>
      <c r="B423" s="3">
        <v>0.33055555555555555</v>
      </c>
      <c r="C423" s="1">
        <v>108</v>
      </c>
      <c r="D423" t="s">
        <v>19</v>
      </c>
      <c r="E423" s="1">
        <v>1</v>
      </c>
      <c r="F423" s="1">
        <v>0</v>
      </c>
      <c r="G423" s="1">
        <v>0</v>
      </c>
      <c r="H423">
        <v>0</v>
      </c>
      <c r="I423">
        <v>0</v>
      </c>
      <c r="J423">
        <v>0</v>
      </c>
      <c r="K423">
        <v>0</v>
      </c>
      <c r="S423" t="s">
        <v>4</v>
      </c>
    </row>
    <row r="424" spans="1:19" x14ac:dyDescent="0.25">
      <c r="A424" s="2">
        <v>40203</v>
      </c>
      <c r="B424" s="3">
        <v>0.1388888888888889</v>
      </c>
      <c r="C424" s="1">
        <v>126</v>
      </c>
      <c r="D424" t="s">
        <v>19</v>
      </c>
      <c r="E424" s="1">
        <v>1</v>
      </c>
      <c r="F424" s="1">
        <v>0</v>
      </c>
      <c r="G424" s="1">
        <v>0</v>
      </c>
      <c r="H424">
        <v>0</v>
      </c>
      <c r="I424">
        <v>0</v>
      </c>
      <c r="J424">
        <v>0</v>
      </c>
      <c r="K424">
        <v>0</v>
      </c>
      <c r="S424" t="s">
        <v>4</v>
      </c>
    </row>
    <row r="425" spans="1:19" x14ac:dyDescent="0.25">
      <c r="A425" s="2">
        <v>40206</v>
      </c>
      <c r="B425" s="3">
        <v>0.4604166666666667</v>
      </c>
      <c r="C425" s="1">
        <v>110</v>
      </c>
      <c r="D425" t="s">
        <v>19</v>
      </c>
      <c r="E425" s="1">
        <v>1</v>
      </c>
      <c r="F425" s="1">
        <v>0</v>
      </c>
      <c r="G425" s="1">
        <v>0</v>
      </c>
      <c r="H425">
        <v>0</v>
      </c>
      <c r="I425">
        <v>0</v>
      </c>
      <c r="J425">
        <v>0</v>
      </c>
      <c r="K425">
        <v>0</v>
      </c>
      <c r="S425" t="s">
        <v>4</v>
      </c>
    </row>
    <row r="426" spans="1:19" x14ac:dyDescent="0.25">
      <c r="A426" s="2">
        <v>40207</v>
      </c>
      <c r="B426" s="3">
        <v>0.39374999999999999</v>
      </c>
      <c r="C426" s="1">
        <v>116</v>
      </c>
      <c r="D426" t="s">
        <v>19</v>
      </c>
      <c r="E426" s="1">
        <v>1</v>
      </c>
      <c r="F426" s="1">
        <v>0</v>
      </c>
      <c r="G426" s="1">
        <v>0</v>
      </c>
      <c r="H426">
        <v>0</v>
      </c>
      <c r="I426">
        <v>0</v>
      </c>
      <c r="J426">
        <v>0</v>
      </c>
      <c r="K426">
        <v>0</v>
      </c>
      <c r="S426" t="s">
        <v>4</v>
      </c>
    </row>
    <row r="427" spans="1:19" x14ac:dyDescent="0.25">
      <c r="A427" s="2">
        <v>40208</v>
      </c>
      <c r="B427" s="3">
        <v>0.35347222222222219</v>
      </c>
      <c r="C427" s="1">
        <v>122</v>
      </c>
      <c r="D427" t="s">
        <v>19</v>
      </c>
      <c r="E427" s="1">
        <v>1</v>
      </c>
      <c r="F427" s="1">
        <v>0</v>
      </c>
      <c r="G427" s="1">
        <v>0</v>
      </c>
      <c r="H427">
        <v>0</v>
      </c>
      <c r="I427">
        <v>0</v>
      </c>
      <c r="J427">
        <v>0</v>
      </c>
      <c r="K427">
        <v>0</v>
      </c>
      <c r="S427" t="s">
        <v>4</v>
      </c>
    </row>
    <row r="428" spans="1:19" x14ac:dyDescent="0.25">
      <c r="A428" s="2">
        <v>40210</v>
      </c>
      <c r="B428" s="3">
        <v>0.36388888888888887</v>
      </c>
      <c r="C428" s="1">
        <v>129</v>
      </c>
      <c r="D428" t="s">
        <v>19</v>
      </c>
      <c r="E428" s="1">
        <v>1</v>
      </c>
      <c r="F428" s="1">
        <v>0</v>
      </c>
      <c r="G428" s="1">
        <v>0</v>
      </c>
      <c r="H428">
        <v>0</v>
      </c>
      <c r="I428">
        <v>0</v>
      </c>
      <c r="J428">
        <v>0</v>
      </c>
      <c r="K428">
        <v>0</v>
      </c>
      <c r="S428" t="s">
        <v>4</v>
      </c>
    </row>
    <row r="429" spans="1:19" x14ac:dyDescent="0.25">
      <c r="A429" s="2">
        <v>40211</v>
      </c>
      <c r="B429" s="3">
        <v>0.62916666666666665</v>
      </c>
      <c r="C429" s="1">
        <v>107</v>
      </c>
      <c r="D429" t="s">
        <v>19</v>
      </c>
      <c r="E429" s="1">
        <v>0</v>
      </c>
      <c r="F429" s="1">
        <v>0</v>
      </c>
      <c r="G429" s="1">
        <v>1</v>
      </c>
      <c r="H429">
        <v>0</v>
      </c>
      <c r="I429">
        <v>0</v>
      </c>
      <c r="J429">
        <v>0</v>
      </c>
      <c r="K429">
        <v>0</v>
      </c>
      <c r="S429" t="s">
        <v>6</v>
      </c>
    </row>
    <row r="430" spans="1:19" x14ac:dyDescent="0.25">
      <c r="A430" s="2">
        <v>40213</v>
      </c>
      <c r="B430" s="3">
        <v>0.25138888888888888</v>
      </c>
      <c r="C430" s="1">
        <v>116</v>
      </c>
      <c r="D430" t="s">
        <v>19</v>
      </c>
      <c r="E430" s="1">
        <v>1</v>
      </c>
      <c r="F430" s="1">
        <v>0</v>
      </c>
      <c r="G430" s="1">
        <v>0</v>
      </c>
      <c r="H430">
        <v>0</v>
      </c>
      <c r="I430">
        <v>0</v>
      </c>
      <c r="J430">
        <v>0</v>
      </c>
      <c r="K430">
        <v>0</v>
      </c>
      <c r="S430" t="s">
        <v>4</v>
      </c>
    </row>
    <row r="431" spans="1:19" x14ac:dyDescent="0.25">
      <c r="A431" s="2">
        <v>40216</v>
      </c>
      <c r="B431" s="3">
        <v>0.24097222222222223</v>
      </c>
      <c r="C431" s="1">
        <v>126</v>
      </c>
      <c r="D431" t="s">
        <v>19</v>
      </c>
      <c r="E431" s="1">
        <v>1</v>
      </c>
      <c r="F431" s="1">
        <v>0</v>
      </c>
      <c r="G431" s="1">
        <v>0</v>
      </c>
      <c r="H431">
        <v>0</v>
      </c>
      <c r="I431">
        <v>0</v>
      </c>
      <c r="J431">
        <v>0</v>
      </c>
      <c r="K431">
        <v>0</v>
      </c>
      <c r="S431" t="s">
        <v>4</v>
      </c>
    </row>
    <row r="432" spans="1:19" x14ac:dyDescent="0.25">
      <c r="A432" s="2">
        <v>40217</v>
      </c>
      <c r="B432" s="3">
        <v>0.25555555555555559</v>
      </c>
      <c r="C432" s="1">
        <v>101</v>
      </c>
      <c r="D432" t="s">
        <v>19</v>
      </c>
      <c r="E432" s="1">
        <v>1</v>
      </c>
      <c r="F432" s="1">
        <v>0</v>
      </c>
      <c r="G432" s="1">
        <v>0</v>
      </c>
      <c r="H432">
        <v>0</v>
      </c>
      <c r="I432">
        <v>0</v>
      </c>
      <c r="J432">
        <v>0</v>
      </c>
      <c r="K432">
        <v>0</v>
      </c>
      <c r="S432" t="s">
        <v>4</v>
      </c>
    </row>
    <row r="433" spans="1:19" x14ac:dyDescent="0.25">
      <c r="A433" s="2">
        <v>40218</v>
      </c>
      <c r="B433" s="3">
        <v>0.28402777777777777</v>
      </c>
      <c r="C433" s="1">
        <v>99</v>
      </c>
      <c r="D433" t="s">
        <v>19</v>
      </c>
      <c r="E433" s="1">
        <v>1</v>
      </c>
      <c r="F433" s="1">
        <v>0</v>
      </c>
      <c r="G433" s="1">
        <v>0</v>
      </c>
      <c r="H433">
        <v>0</v>
      </c>
      <c r="I433">
        <v>0</v>
      </c>
      <c r="J433">
        <v>0</v>
      </c>
      <c r="K433">
        <v>0</v>
      </c>
      <c r="S433" t="s">
        <v>4</v>
      </c>
    </row>
    <row r="434" spans="1:19" x14ac:dyDescent="0.25">
      <c r="A434" s="2">
        <v>40219</v>
      </c>
      <c r="B434" s="3">
        <v>0.27569444444444446</v>
      </c>
      <c r="C434" s="1">
        <v>122</v>
      </c>
      <c r="D434" t="s">
        <v>19</v>
      </c>
      <c r="E434" s="1">
        <v>1</v>
      </c>
      <c r="F434" s="1">
        <v>0</v>
      </c>
      <c r="G434" s="1">
        <v>0</v>
      </c>
      <c r="H434">
        <v>0</v>
      </c>
      <c r="I434">
        <v>0</v>
      </c>
      <c r="J434">
        <v>0</v>
      </c>
      <c r="K434">
        <v>0</v>
      </c>
      <c r="S434" t="s">
        <v>4</v>
      </c>
    </row>
    <row r="435" spans="1:19" x14ac:dyDescent="0.25">
      <c r="A435" s="2">
        <v>40220</v>
      </c>
      <c r="B435" s="3">
        <v>0.28680555555555554</v>
      </c>
      <c r="C435" s="1">
        <v>182</v>
      </c>
      <c r="D435" t="s">
        <v>19</v>
      </c>
      <c r="E435" s="1">
        <v>1</v>
      </c>
      <c r="F435" s="1">
        <v>0</v>
      </c>
      <c r="G435" s="1">
        <v>0</v>
      </c>
      <c r="H435">
        <v>0</v>
      </c>
      <c r="I435">
        <v>0</v>
      </c>
      <c r="J435">
        <v>0</v>
      </c>
      <c r="K435">
        <v>0</v>
      </c>
      <c r="S435" t="s">
        <v>4</v>
      </c>
    </row>
    <row r="436" spans="1:19" x14ac:dyDescent="0.25">
      <c r="A436" s="2">
        <v>40222</v>
      </c>
      <c r="B436" s="3">
        <v>0.30277777777777776</v>
      </c>
      <c r="C436" s="1">
        <v>92</v>
      </c>
      <c r="D436" t="s">
        <v>19</v>
      </c>
      <c r="E436" s="1">
        <v>1</v>
      </c>
      <c r="F436" s="1">
        <v>0</v>
      </c>
      <c r="G436" s="1">
        <v>0</v>
      </c>
      <c r="H436">
        <v>0</v>
      </c>
      <c r="I436">
        <v>0</v>
      </c>
      <c r="J436">
        <v>0</v>
      </c>
      <c r="K436">
        <v>0</v>
      </c>
      <c r="S436" t="s">
        <v>4</v>
      </c>
    </row>
    <row r="437" spans="1:19" x14ac:dyDescent="0.25">
      <c r="A437" s="2">
        <v>40223</v>
      </c>
      <c r="B437" s="3">
        <v>0.32222222222222224</v>
      </c>
      <c r="C437" s="1">
        <v>115</v>
      </c>
      <c r="D437" t="s">
        <v>19</v>
      </c>
      <c r="E437" s="1">
        <v>1</v>
      </c>
      <c r="F437" s="1">
        <v>0</v>
      </c>
      <c r="G437" s="1">
        <v>0</v>
      </c>
      <c r="H437">
        <v>0</v>
      </c>
      <c r="I437">
        <v>0</v>
      </c>
      <c r="J437">
        <v>0</v>
      </c>
      <c r="K437">
        <v>0</v>
      </c>
      <c r="S437" t="s">
        <v>4</v>
      </c>
    </row>
    <row r="438" spans="1:19" x14ac:dyDescent="0.25">
      <c r="A438" s="2">
        <v>40224</v>
      </c>
      <c r="B438" s="3">
        <v>0.15902777777777777</v>
      </c>
      <c r="C438" s="1">
        <v>106</v>
      </c>
      <c r="D438" t="s">
        <v>19</v>
      </c>
      <c r="E438" s="1">
        <v>1</v>
      </c>
      <c r="F438" s="1">
        <v>0</v>
      </c>
      <c r="G438" s="1">
        <v>0</v>
      </c>
      <c r="H438">
        <v>0</v>
      </c>
      <c r="I438">
        <v>0</v>
      </c>
      <c r="J438">
        <v>0</v>
      </c>
      <c r="K438">
        <v>0</v>
      </c>
      <c r="S438" t="s">
        <v>4</v>
      </c>
    </row>
    <row r="439" spans="1:19" x14ac:dyDescent="0.25">
      <c r="A439" s="2">
        <v>40224</v>
      </c>
      <c r="B439" s="3">
        <v>0.68888888888888899</v>
      </c>
      <c r="C439" s="1">
        <v>112</v>
      </c>
      <c r="D439" t="s">
        <v>19</v>
      </c>
      <c r="E439" s="1">
        <v>0</v>
      </c>
      <c r="F439" s="1">
        <v>0</v>
      </c>
      <c r="G439" s="1">
        <v>1</v>
      </c>
      <c r="H439">
        <v>0</v>
      </c>
      <c r="I439">
        <v>0</v>
      </c>
      <c r="J439">
        <v>0</v>
      </c>
      <c r="K439">
        <v>0</v>
      </c>
      <c r="S439" t="s">
        <v>6</v>
      </c>
    </row>
    <row r="440" spans="1:19" x14ac:dyDescent="0.25">
      <c r="A440" s="2">
        <v>40226</v>
      </c>
      <c r="B440" s="3">
        <v>0.27986111111111112</v>
      </c>
      <c r="C440" s="1">
        <v>134</v>
      </c>
      <c r="D440" t="s">
        <v>19</v>
      </c>
      <c r="E440" s="1">
        <v>1</v>
      </c>
      <c r="F440" s="1">
        <v>0</v>
      </c>
      <c r="G440" s="1">
        <v>0</v>
      </c>
      <c r="H440">
        <v>0</v>
      </c>
      <c r="I440">
        <v>0</v>
      </c>
      <c r="J440">
        <v>0</v>
      </c>
      <c r="K440">
        <v>0</v>
      </c>
      <c r="S440" t="s">
        <v>4</v>
      </c>
    </row>
    <row r="441" spans="1:19" x14ac:dyDescent="0.25">
      <c r="A441" s="2">
        <v>40227</v>
      </c>
      <c r="B441" s="3">
        <v>0.24652777777777779</v>
      </c>
      <c r="C441" s="1">
        <v>104</v>
      </c>
      <c r="D441" t="s">
        <v>19</v>
      </c>
      <c r="E441" s="1">
        <v>1</v>
      </c>
      <c r="F441" s="1">
        <v>0</v>
      </c>
      <c r="G441" s="1">
        <v>0</v>
      </c>
      <c r="H441">
        <v>0</v>
      </c>
      <c r="I441">
        <v>0</v>
      </c>
      <c r="J441">
        <v>0</v>
      </c>
      <c r="K441">
        <v>0</v>
      </c>
      <c r="S441" t="s">
        <v>4</v>
      </c>
    </row>
    <row r="442" spans="1:19" x14ac:dyDescent="0.25">
      <c r="A442" s="2">
        <v>40228</v>
      </c>
      <c r="B442" s="3">
        <v>0.2638888888888889</v>
      </c>
      <c r="C442" s="1">
        <v>89</v>
      </c>
      <c r="D442" t="s">
        <v>19</v>
      </c>
      <c r="E442" s="1">
        <v>1</v>
      </c>
      <c r="F442" s="1">
        <v>0</v>
      </c>
      <c r="G442" s="1">
        <v>0</v>
      </c>
      <c r="H442">
        <v>0</v>
      </c>
      <c r="I442">
        <v>0</v>
      </c>
      <c r="J442">
        <v>0</v>
      </c>
      <c r="K442">
        <v>0</v>
      </c>
      <c r="S442" t="s">
        <v>4</v>
      </c>
    </row>
    <row r="443" spans="1:19" x14ac:dyDescent="0.25">
      <c r="A443" s="2">
        <v>40228</v>
      </c>
      <c r="B443" s="3">
        <v>0.68125000000000002</v>
      </c>
      <c r="C443" s="1">
        <v>186</v>
      </c>
      <c r="D443" t="s">
        <v>19</v>
      </c>
      <c r="E443" s="1">
        <v>1</v>
      </c>
      <c r="F443" s="1">
        <v>0</v>
      </c>
      <c r="G443" s="1">
        <v>0</v>
      </c>
      <c r="H443">
        <v>0</v>
      </c>
      <c r="I443">
        <v>0</v>
      </c>
      <c r="J443">
        <v>0</v>
      </c>
      <c r="K443">
        <v>0</v>
      </c>
      <c r="S443" t="s">
        <v>4</v>
      </c>
    </row>
    <row r="444" spans="1:19" x14ac:dyDescent="0.25">
      <c r="A444" s="2">
        <v>40229</v>
      </c>
      <c r="B444" s="3">
        <v>0.28194444444444444</v>
      </c>
      <c r="C444" s="1">
        <v>95</v>
      </c>
      <c r="D444" t="s">
        <v>19</v>
      </c>
      <c r="E444" s="1">
        <v>1</v>
      </c>
      <c r="F444" s="1">
        <v>0</v>
      </c>
      <c r="G444" s="1">
        <v>0</v>
      </c>
      <c r="H444">
        <v>0</v>
      </c>
      <c r="I444">
        <v>0</v>
      </c>
      <c r="J444">
        <v>0</v>
      </c>
      <c r="K444">
        <v>0</v>
      </c>
      <c r="S444" t="s">
        <v>4</v>
      </c>
    </row>
    <row r="445" spans="1:19" x14ac:dyDescent="0.25">
      <c r="A445" s="2">
        <v>40232</v>
      </c>
      <c r="B445" s="3">
        <v>0.27013888888888887</v>
      </c>
      <c r="C445" s="1">
        <v>108</v>
      </c>
      <c r="D445" t="s">
        <v>19</v>
      </c>
      <c r="E445" s="1">
        <v>1</v>
      </c>
      <c r="F445" s="1">
        <v>0</v>
      </c>
      <c r="G445" s="1">
        <v>0</v>
      </c>
      <c r="H445">
        <v>0</v>
      </c>
      <c r="I445">
        <v>0</v>
      </c>
      <c r="J445">
        <v>0</v>
      </c>
      <c r="K445">
        <v>0</v>
      </c>
      <c r="S445" t="s">
        <v>4</v>
      </c>
    </row>
    <row r="446" spans="1:19" x14ac:dyDescent="0.25">
      <c r="A446" s="2">
        <v>40233</v>
      </c>
      <c r="B446" s="3">
        <v>0.31597222222222221</v>
      </c>
      <c r="C446" s="1">
        <v>144</v>
      </c>
      <c r="D446" t="s">
        <v>19</v>
      </c>
      <c r="E446" s="1">
        <v>1</v>
      </c>
      <c r="F446" s="1">
        <v>0</v>
      </c>
      <c r="G446" s="1">
        <v>0</v>
      </c>
      <c r="H446">
        <v>0</v>
      </c>
      <c r="I446">
        <v>0</v>
      </c>
      <c r="J446">
        <v>0</v>
      </c>
      <c r="K446">
        <v>0</v>
      </c>
      <c r="S446" t="s">
        <v>4</v>
      </c>
    </row>
    <row r="447" spans="1:19" x14ac:dyDescent="0.25">
      <c r="A447" s="2">
        <v>40234</v>
      </c>
      <c r="B447" s="3">
        <v>0.31111111111111112</v>
      </c>
      <c r="C447" s="1">
        <v>127</v>
      </c>
      <c r="D447" t="s">
        <v>19</v>
      </c>
      <c r="E447" s="1">
        <v>1</v>
      </c>
      <c r="F447" s="1">
        <v>0</v>
      </c>
      <c r="G447" s="1">
        <v>0</v>
      </c>
      <c r="H447">
        <v>0</v>
      </c>
      <c r="I447">
        <v>0</v>
      </c>
      <c r="J447">
        <v>0</v>
      </c>
      <c r="K447">
        <v>0</v>
      </c>
      <c r="S447" t="s">
        <v>4</v>
      </c>
    </row>
    <row r="448" spans="1:19" x14ac:dyDescent="0.25">
      <c r="A448" s="2">
        <v>40236</v>
      </c>
      <c r="B448" s="3">
        <v>0.33124999999999999</v>
      </c>
      <c r="C448" s="1">
        <v>173</v>
      </c>
      <c r="D448" t="s">
        <v>19</v>
      </c>
      <c r="E448" s="1">
        <v>1</v>
      </c>
      <c r="F448" s="1">
        <v>0</v>
      </c>
      <c r="G448" s="1">
        <v>0</v>
      </c>
      <c r="H448">
        <v>0</v>
      </c>
      <c r="I448">
        <v>0</v>
      </c>
      <c r="J448">
        <v>0</v>
      </c>
      <c r="K448">
        <v>0</v>
      </c>
      <c r="S448" t="s">
        <v>4</v>
      </c>
    </row>
    <row r="449" spans="1:19" x14ac:dyDescent="0.25">
      <c r="A449" s="2">
        <v>40236</v>
      </c>
      <c r="B449" s="3">
        <v>0.53888888888888886</v>
      </c>
      <c r="C449" s="1">
        <v>90</v>
      </c>
      <c r="D449" t="s">
        <v>19</v>
      </c>
      <c r="E449" s="1">
        <v>0</v>
      </c>
      <c r="F449" s="1">
        <v>0</v>
      </c>
      <c r="G449" s="1">
        <v>1</v>
      </c>
      <c r="H449">
        <v>0</v>
      </c>
      <c r="I449">
        <v>0</v>
      </c>
      <c r="J449">
        <v>0</v>
      </c>
      <c r="K449">
        <v>0</v>
      </c>
      <c r="S449" t="s">
        <v>6</v>
      </c>
    </row>
    <row r="450" spans="1:19" x14ac:dyDescent="0.25">
      <c r="A450" s="2">
        <v>40236</v>
      </c>
      <c r="B450" s="3">
        <v>0.57152777777777775</v>
      </c>
      <c r="C450" s="1">
        <v>118</v>
      </c>
      <c r="D450" t="s">
        <v>19</v>
      </c>
      <c r="E450" s="1">
        <v>0</v>
      </c>
      <c r="F450" s="1">
        <v>0</v>
      </c>
      <c r="G450" s="1">
        <v>1</v>
      </c>
      <c r="H450">
        <v>0</v>
      </c>
      <c r="I450">
        <v>0</v>
      </c>
      <c r="J450">
        <v>0</v>
      </c>
      <c r="K450">
        <v>0</v>
      </c>
      <c r="S450" t="s">
        <v>6</v>
      </c>
    </row>
    <row r="451" spans="1:19" x14ac:dyDescent="0.25">
      <c r="A451" s="2">
        <v>40236</v>
      </c>
      <c r="B451" s="3">
        <v>0.7055555555555556</v>
      </c>
      <c r="C451" s="1">
        <v>128</v>
      </c>
      <c r="D451" t="s">
        <v>19</v>
      </c>
      <c r="E451" s="1">
        <v>0</v>
      </c>
      <c r="F451" s="1">
        <v>1</v>
      </c>
      <c r="G451" s="1">
        <v>0</v>
      </c>
      <c r="H451">
        <v>0</v>
      </c>
      <c r="I451">
        <v>0</v>
      </c>
      <c r="J451">
        <v>0</v>
      </c>
      <c r="K451">
        <v>0</v>
      </c>
      <c r="S451" t="s">
        <v>20</v>
      </c>
    </row>
    <row r="452" spans="1:19" x14ac:dyDescent="0.25">
      <c r="A452" s="2">
        <v>40237</v>
      </c>
      <c r="B452" s="3">
        <v>0.19027777777777777</v>
      </c>
      <c r="C452" s="1">
        <v>109</v>
      </c>
      <c r="D452" t="s">
        <v>19</v>
      </c>
      <c r="E452" s="1">
        <v>1</v>
      </c>
      <c r="F452" s="1">
        <v>0</v>
      </c>
      <c r="G452" s="1">
        <v>0</v>
      </c>
      <c r="H452">
        <v>0</v>
      </c>
      <c r="I452">
        <v>0</v>
      </c>
      <c r="J452">
        <v>0</v>
      </c>
      <c r="K452">
        <v>0</v>
      </c>
      <c r="S452" t="s">
        <v>4</v>
      </c>
    </row>
    <row r="453" spans="1:19" x14ac:dyDescent="0.25">
      <c r="A453" s="2">
        <v>40237</v>
      </c>
      <c r="B453" s="3">
        <v>0.53194444444444444</v>
      </c>
      <c r="C453" s="1">
        <v>102</v>
      </c>
      <c r="D453" t="s">
        <v>19</v>
      </c>
      <c r="E453" s="1">
        <v>0</v>
      </c>
      <c r="F453" s="1">
        <v>0</v>
      </c>
      <c r="G453" s="1">
        <v>1</v>
      </c>
      <c r="H453">
        <v>0</v>
      </c>
      <c r="I453">
        <v>0</v>
      </c>
      <c r="J453">
        <v>0</v>
      </c>
      <c r="K453">
        <v>0</v>
      </c>
      <c r="S453" t="s">
        <v>6</v>
      </c>
    </row>
    <row r="454" spans="1:19" x14ac:dyDescent="0.25">
      <c r="A454" s="2">
        <v>40238</v>
      </c>
      <c r="B454" s="3">
        <v>0.26527777777777778</v>
      </c>
      <c r="C454" s="1">
        <v>132</v>
      </c>
      <c r="D454" t="s">
        <v>19</v>
      </c>
      <c r="E454" s="1">
        <v>1</v>
      </c>
      <c r="F454" s="1">
        <v>0</v>
      </c>
      <c r="G454" s="1">
        <v>0</v>
      </c>
      <c r="H454">
        <v>0</v>
      </c>
      <c r="I454">
        <v>0</v>
      </c>
      <c r="J454">
        <v>0</v>
      </c>
      <c r="K454">
        <v>0</v>
      </c>
      <c r="S454" t="s">
        <v>4</v>
      </c>
    </row>
    <row r="455" spans="1:19" x14ac:dyDescent="0.25">
      <c r="A455" s="2">
        <v>40238</v>
      </c>
      <c r="B455" s="3">
        <v>0.35347222222222219</v>
      </c>
      <c r="C455" s="1">
        <v>113</v>
      </c>
      <c r="D455" t="s">
        <v>19</v>
      </c>
      <c r="E455" s="1">
        <v>0</v>
      </c>
      <c r="F455" s="1">
        <v>0</v>
      </c>
      <c r="G455" s="1">
        <v>1</v>
      </c>
      <c r="H455">
        <v>0</v>
      </c>
      <c r="I455">
        <v>0</v>
      </c>
      <c r="J455">
        <v>0</v>
      </c>
      <c r="K455">
        <v>0</v>
      </c>
      <c r="S455" t="s">
        <v>6</v>
      </c>
    </row>
    <row r="456" spans="1:19" x14ac:dyDescent="0.25">
      <c r="A456" s="2">
        <v>40238</v>
      </c>
      <c r="B456" s="3">
        <v>0.65694444444444444</v>
      </c>
      <c r="C456" s="1">
        <v>99</v>
      </c>
      <c r="D456" t="s">
        <v>19</v>
      </c>
      <c r="E456" s="1">
        <v>0</v>
      </c>
      <c r="F456" s="1">
        <v>0</v>
      </c>
      <c r="G456" s="1">
        <v>1</v>
      </c>
      <c r="H456">
        <v>0</v>
      </c>
      <c r="I456">
        <v>0</v>
      </c>
      <c r="J456">
        <v>0</v>
      </c>
      <c r="K456">
        <v>0</v>
      </c>
      <c r="S456" t="s">
        <v>6</v>
      </c>
    </row>
    <row r="457" spans="1:19" x14ac:dyDescent="0.25">
      <c r="A457" s="2">
        <v>40239</v>
      </c>
      <c r="B457" s="3">
        <v>0.29652777777777778</v>
      </c>
      <c r="C457" s="1">
        <v>114</v>
      </c>
      <c r="D457" t="s">
        <v>19</v>
      </c>
      <c r="E457" s="1">
        <v>1</v>
      </c>
      <c r="F457" s="1">
        <v>0</v>
      </c>
      <c r="G457" s="1">
        <v>0</v>
      </c>
      <c r="H457">
        <v>0</v>
      </c>
      <c r="I457">
        <v>0</v>
      </c>
      <c r="J457">
        <v>0</v>
      </c>
      <c r="K457">
        <v>0</v>
      </c>
      <c r="S457" t="s">
        <v>4</v>
      </c>
    </row>
    <row r="458" spans="1:19" x14ac:dyDescent="0.25">
      <c r="A458" s="2">
        <v>40239</v>
      </c>
      <c r="B458" s="3">
        <v>0.35138888888888892</v>
      </c>
      <c r="C458" s="1">
        <v>198</v>
      </c>
      <c r="D458" t="s">
        <v>19</v>
      </c>
      <c r="E458" s="1">
        <v>0</v>
      </c>
      <c r="F458" s="1">
        <v>0</v>
      </c>
      <c r="G458" s="1">
        <v>1</v>
      </c>
      <c r="H458">
        <v>0</v>
      </c>
      <c r="I458">
        <v>0</v>
      </c>
      <c r="J458">
        <v>0</v>
      </c>
      <c r="K458">
        <v>0</v>
      </c>
      <c r="S458" t="s">
        <v>6</v>
      </c>
    </row>
    <row r="459" spans="1:19" x14ac:dyDescent="0.25">
      <c r="A459" s="2">
        <v>40239</v>
      </c>
      <c r="B459" s="3">
        <v>0.55347222222222225</v>
      </c>
      <c r="C459" s="1">
        <v>119</v>
      </c>
      <c r="D459" t="s">
        <v>19</v>
      </c>
      <c r="E459" s="1">
        <v>0</v>
      </c>
      <c r="F459" s="1">
        <v>0</v>
      </c>
      <c r="G459" s="1">
        <v>1</v>
      </c>
      <c r="H459">
        <v>0</v>
      </c>
      <c r="I459">
        <v>0</v>
      </c>
      <c r="J459">
        <v>0</v>
      </c>
      <c r="K459">
        <v>0</v>
      </c>
      <c r="S459" t="s">
        <v>6</v>
      </c>
    </row>
    <row r="460" spans="1:19" x14ac:dyDescent="0.25">
      <c r="A460" s="2">
        <v>40239</v>
      </c>
      <c r="B460" s="3">
        <v>0.72152777777777777</v>
      </c>
      <c r="C460" s="1">
        <v>89</v>
      </c>
      <c r="D460" t="s">
        <v>19</v>
      </c>
      <c r="E460" s="1">
        <v>0</v>
      </c>
      <c r="F460" s="1">
        <v>0</v>
      </c>
      <c r="G460" s="1">
        <v>1</v>
      </c>
      <c r="H460">
        <v>0</v>
      </c>
      <c r="I460">
        <v>0</v>
      </c>
      <c r="J460">
        <v>0</v>
      </c>
      <c r="K460">
        <v>0</v>
      </c>
      <c r="S460" t="s">
        <v>6</v>
      </c>
    </row>
    <row r="461" spans="1:19" x14ac:dyDescent="0.25">
      <c r="A461" s="2">
        <v>40240</v>
      </c>
      <c r="B461" s="3">
        <v>0.2986111111111111</v>
      </c>
      <c r="C461" s="1">
        <v>107</v>
      </c>
      <c r="D461" t="s">
        <v>19</v>
      </c>
      <c r="E461" s="1">
        <v>0</v>
      </c>
      <c r="F461" s="1">
        <v>0</v>
      </c>
      <c r="G461" s="1">
        <v>1</v>
      </c>
      <c r="H461">
        <v>0</v>
      </c>
      <c r="I461">
        <v>0</v>
      </c>
      <c r="J461">
        <v>0</v>
      </c>
      <c r="K461">
        <v>0</v>
      </c>
      <c r="S461" t="s">
        <v>6</v>
      </c>
    </row>
    <row r="462" spans="1:19" x14ac:dyDescent="0.25">
      <c r="A462" s="2">
        <v>40240</v>
      </c>
      <c r="B462" s="3">
        <v>0.68611111111111101</v>
      </c>
      <c r="C462" s="1">
        <v>107</v>
      </c>
      <c r="D462" t="s">
        <v>19</v>
      </c>
      <c r="E462" s="1">
        <v>0</v>
      </c>
      <c r="F462" s="1">
        <v>0</v>
      </c>
      <c r="G462" s="1">
        <v>1</v>
      </c>
      <c r="H462">
        <v>0</v>
      </c>
      <c r="I462">
        <v>0</v>
      </c>
      <c r="J462">
        <v>0</v>
      </c>
      <c r="K462">
        <v>0</v>
      </c>
      <c r="S462" t="s">
        <v>6</v>
      </c>
    </row>
    <row r="463" spans="1:19" x14ac:dyDescent="0.25">
      <c r="A463" s="2">
        <v>40241</v>
      </c>
      <c r="B463" s="3">
        <v>0.12083333333333333</v>
      </c>
      <c r="C463" s="1">
        <v>108</v>
      </c>
      <c r="D463" t="s">
        <v>19</v>
      </c>
      <c r="E463" s="1">
        <v>1</v>
      </c>
      <c r="F463" s="1">
        <v>0</v>
      </c>
      <c r="G463" s="1">
        <v>0</v>
      </c>
      <c r="H463">
        <v>0</v>
      </c>
      <c r="I463">
        <v>0</v>
      </c>
      <c r="J463">
        <v>0</v>
      </c>
      <c r="K463">
        <v>0</v>
      </c>
      <c r="S463" t="s">
        <v>4</v>
      </c>
    </row>
    <row r="464" spans="1:19" x14ac:dyDescent="0.25">
      <c r="A464" s="2">
        <v>40241</v>
      </c>
      <c r="B464" s="3">
        <v>0.31388888888888888</v>
      </c>
      <c r="C464" s="1">
        <v>106</v>
      </c>
      <c r="D464" t="s">
        <v>19</v>
      </c>
      <c r="E464" s="1">
        <v>0</v>
      </c>
      <c r="F464" s="1">
        <v>1</v>
      </c>
      <c r="G464" s="1">
        <v>0</v>
      </c>
      <c r="H464">
        <v>0</v>
      </c>
      <c r="I464">
        <v>0</v>
      </c>
      <c r="J464">
        <v>0</v>
      </c>
      <c r="K464">
        <v>0</v>
      </c>
      <c r="S464" t="s">
        <v>20</v>
      </c>
    </row>
    <row r="465" spans="1:19" x14ac:dyDescent="0.25">
      <c r="A465" s="2">
        <v>40241</v>
      </c>
      <c r="B465" s="3">
        <v>0.36944444444444446</v>
      </c>
      <c r="C465" s="1">
        <v>95</v>
      </c>
      <c r="D465" t="s">
        <v>19</v>
      </c>
      <c r="E465" s="1">
        <v>0</v>
      </c>
      <c r="F465" s="1">
        <v>1</v>
      </c>
      <c r="G465" s="1">
        <v>0</v>
      </c>
      <c r="H465">
        <v>0</v>
      </c>
      <c r="I465">
        <v>0</v>
      </c>
      <c r="J465">
        <v>0</v>
      </c>
      <c r="K465">
        <v>0</v>
      </c>
      <c r="S465" t="s">
        <v>20</v>
      </c>
    </row>
    <row r="466" spans="1:19" x14ac:dyDescent="0.25">
      <c r="A466" s="2">
        <v>40241</v>
      </c>
      <c r="B466" s="3">
        <v>0.58750000000000002</v>
      </c>
      <c r="C466" s="1">
        <v>124</v>
      </c>
      <c r="D466" t="s">
        <v>19</v>
      </c>
      <c r="E466" s="1">
        <v>0</v>
      </c>
      <c r="F466" s="1">
        <v>0</v>
      </c>
      <c r="G466" s="1">
        <v>1</v>
      </c>
      <c r="H466">
        <v>0</v>
      </c>
      <c r="I466">
        <v>0</v>
      </c>
      <c r="J466">
        <v>0</v>
      </c>
      <c r="K466">
        <v>0</v>
      </c>
      <c r="S466" t="s">
        <v>6</v>
      </c>
    </row>
    <row r="467" spans="1:19" x14ac:dyDescent="0.25">
      <c r="A467" s="2">
        <v>40241</v>
      </c>
      <c r="B467" s="3">
        <v>0.80138888888888893</v>
      </c>
      <c r="C467" s="1">
        <v>126</v>
      </c>
      <c r="D467" t="s">
        <v>19</v>
      </c>
      <c r="E467" s="1">
        <v>0</v>
      </c>
      <c r="F467" s="1">
        <v>0</v>
      </c>
      <c r="G467" s="1">
        <v>1</v>
      </c>
      <c r="H467">
        <v>0</v>
      </c>
      <c r="I467">
        <v>0</v>
      </c>
      <c r="J467">
        <v>0</v>
      </c>
      <c r="K467">
        <v>0</v>
      </c>
      <c r="S467" t="s">
        <v>6</v>
      </c>
    </row>
    <row r="468" spans="1:19" x14ac:dyDescent="0.25">
      <c r="A468" s="2">
        <v>40242</v>
      </c>
      <c r="B468" s="3">
        <v>0.2902777777777778</v>
      </c>
      <c r="C468" s="1">
        <v>124</v>
      </c>
      <c r="D468" t="s">
        <v>19</v>
      </c>
      <c r="E468" s="1">
        <v>1</v>
      </c>
      <c r="F468" s="1">
        <v>0</v>
      </c>
      <c r="G468" s="1">
        <v>0</v>
      </c>
      <c r="H468">
        <v>0</v>
      </c>
      <c r="I468">
        <v>0</v>
      </c>
      <c r="J468">
        <v>0</v>
      </c>
      <c r="K468">
        <v>0</v>
      </c>
      <c r="S468" t="s">
        <v>4</v>
      </c>
    </row>
    <row r="469" spans="1:19" x14ac:dyDescent="0.25">
      <c r="A469" s="2">
        <v>40242</v>
      </c>
      <c r="B469" s="3">
        <v>0.32847222222222222</v>
      </c>
      <c r="C469" s="1">
        <v>145</v>
      </c>
      <c r="D469" t="s">
        <v>19</v>
      </c>
      <c r="E469" s="1">
        <v>0</v>
      </c>
      <c r="F469" s="1">
        <v>1</v>
      </c>
      <c r="G469" s="1">
        <v>0</v>
      </c>
      <c r="H469">
        <v>0</v>
      </c>
      <c r="I469">
        <v>0</v>
      </c>
      <c r="J469">
        <v>0</v>
      </c>
      <c r="K469">
        <v>0</v>
      </c>
      <c r="S469" t="s">
        <v>20</v>
      </c>
    </row>
    <row r="470" spans="1:19" x14ac:dyDescent="0.25">
      <c r="A470" s="2">
        <v>40243</v>
      </c>
      <c r="B470" s="3">
        <v>0.32708333333333334</v>
      </c>
      <c r="C470" s="1">
        <v>116</v>
      </c>
      <c r="D470" t="s">
        <v>19</v>
      </c>
      <c r="E470" s="1">
        <v>1</v>
      </c>
      <c r="F470" s="1">
        <v>0</v>
      </c>
      <c r="G470" s="1">
        <v>0</v>
      </c>
      <c r="H470">
        <v>0</v>
      </c>
      <c r="I470">
        <v>0</v>
      </c>
      <c r="J470">
        <v>0</v>
      </c>
      <c r="K470">
        <v>0</v>
      </c>
      <c r="S470" t="s">
        <v>4</v>
      </c>
    </row>
    <row r="471" spans="1:19" x14ac:dyDescent="0.25">
      <c r="A471" s="2">
        <v>40243</v>
      </c>
      <c r="B471" s="3">
        <v>0.3611111111111111</v>
      </c>
      <c r="C471" s="1">
        <v>173</v>
      </c>
      <c r="D471" t="s">
        <v>19</v>
      </c>
      <c r="E471" s="1">
        <v>0</v>
      </c>
      <c r="F471" s="1">
        <v>0</v>
      </c>
      <c r="G471" s="1">
        <v>1</v>
      </c>
      <c r="H471">
        <v>0</v>
      </c>
      <c r="I471">
        <v>0</v>
      </c>
      <c r="J471">
        <v>0</v>
      </c>
      <c r="K471">
        <v>0</v>
      </c>
      <c r="S471" t="s">
        <v>6</v>
      </c>
    </row>
    <row r="472" spans="1:19" x14ac:dyDescent="0.25">
      <c r="A472" s="2">
        <v>40243</v>
      </c>
      <c r="B472" s="3">
        <v>0.39097222222222222</v>
      </c>
      <c r="C472" s="1">
        <v>111</v>
      </c>
      <c r="D472" t="s">
        <v>19</v>
      </c>
      <c r="E472" s="1">
        <v>0</v>
      </c>
      <c r="F472" s="1">
        <v>0</v>
      </c>
      <c r="G472" s="1">
        <v>1</v>
      </c>
      <c r="H472">
        <v>0</v>
      </c>
      <c r="I472">
        <v>0</v>
      </c>
      <c r="J472">
        <v>0</v>
      </c>
      <c r="K472">
        <v>0</v>
      </c>
      <c r="S472" t="s">
        <v>6</v>
      </c>
    </row>
    <row r="473" spans="1:19" x14ac:dyDescent="0.25">
      <c r="A473" s="2">
        <v>40243</v>
      </c>
      <c r="B473" s="3">
        <v>0.42638888888888887</v>
      </c>
      <c r="C473" s="1">
        <v>116</v>
      </c>
      <c r="D473" t="s">
        <v>19</v>
      </c>
      <c r="E473" s="1">
        <v>0</v>
      </c>
      <c r="F473" s="1">
        <v>1</v>
      </c>
      <c r="G473" s="1">
        <v>0</v>
      </c>
      <c r="H473">
        <v>0</v>
      </c>
      <c r="I473">
        <v>0</v>
      </c>
      <c r="J473">
        <v>0</v>
      </c>
      <c r="K473">
        <v>0</v>
      </c>
      <c r="S473" t="s">
        <v>20</v>
      </c>
    </row>
    <row r="474" spans="1:19" x14ac:dyDescent="0.25">
      <c r="A474" s="2">
        <v>40243</v>
      </c>
      <c r="B474" s="3">
        <v>0.58124999999999993</v>
      </c>
      <c r="C474" s="1">
        <v>94</v>
      </c>
      <c r="D474" t="s">
        <v>19</v>
      </c>
      <c r="E474" s="1">
        <v>0</v>
      </c>
      <c r="F474" s="1">
        <v>1</v>
      </c>
      <c r="G474" s="1">
        <v>0</v>
      </c>
      <c r="H474">
        <v>0</v>
      </c>
      <c r="I474">
        <v>0</v>
      </c>
      <c r="J474">
        <v>0</v>
      </c>
      <c r="K474">
        <v>0</v>
      </c>
      <c r="S474" t="s">
        <v>20</v>
      </c>
    </row>
    <row r="475" spans="1:19" x14ac:dyDescent="0.25">
      <c r="A475" s="2">
        <v>40243</v>
      </c>
      <c r="B475" s="3">
        <v>0.70833333333333337</v>
      </c>
      <c r="C475" s="1">
        <v>120</v>
      </c>
      <c r="D475" t="s">
        <v>19</v>
      </c>
      <c r="E475" s="1">
        <v>0</v>
      </c>
      <c r="F475" s="1">
        <v>0</v>
      </c>
      <c r="G475" s="1">
        <v>1</v>
      </c>
      <c r="H475">
        <v>0</v>
      </c>
      <c r="I475">
        <v>0</v>
      </c>
      <c r="J475">
        <v>0</v>
      </c>
      <c r="K475">
        <v>0</v>
      </c>
      <c r="S475" t="s">
        <v>6</v>
      </c>
    </row>
    <row r="476" spans="1:19" x14ac:dyDescent="0.25">
      <c r="A476" s="2">
        <v>40243</v>
      </c>
      <c r="B476" s="3">
        <v>0.75208333333333333</v>
      </c>
      <c r="C476" s="1">
        <v>90</v>
      </c>
      <c r="D476" t="s">
        <v>19</v>
      </c>
      <c r="E476" s="1">
        <v>0</v>
      </c>
      <c r="F476" s="1">
        <v>1</v>
      </c>
      <c r="G476" s="1">
        <v>0</v>
      </c>
      <c r="H476">
        <v>0</v>
      </c>
      <c r="I476">
        <v>0</v>
      </c>
      <c r="J476">
        <v>0</v>
      </c>
      <c r="K476">
        <v>0</v>
      </c>
      <c r="S476" t="s">
        <v>20</v>
      </c>
    </row>
    <row r="477" spans="1:19" x14ac:dyDescent="0.25">
      <c r="A477" s="2">
        <v>40243</v>
      </c>
      <c r="B477" s="3">
        <v>0.85972222222222217</v>
      </c>
      <c r="C477" s="1">
        <v>99</v>
      </c>
      <c r="D477" t="s">
        <v>19</v>
      </c>
      <c r="E477" s="1">
        <v>0</v>
      </c>
      <c r="F477" s="1">
        <v>0</v>
      </c>
      <c r="G477" s="1">
        <v>1</v>
      </c>
      <c r="H477">
        <v>0</v>
      </c>
      <c r="I477">
        <v>0</v>
      </c>
      <c r="J477">
        <v>0</v>
      </c>
      <c r="K477">
        <v>0</v>
      </c>
      <c r="S477" t="s">
        <v>6</v>
      </c>
    </row>
    <row r="478" spans="1:19" x14ac:dyDescent="0.25">
      <c r="A478" s="2">
        <v>40244</v>
      </c>
      <c r="B478" s="3">
        <v>0.20486111111111113</v>
      </c>
      <c r="C478" s="1">
        <v>109</v>
      </c>
      <c r="D478" t="s">
        <v>19</v>
      </c>
      <c r="E478" s="1">
        <v>1</v>
      </c>
      <c r="F478" s="1">
        <v>0</v>
      </c>
      <c r="G478" s="1">
        <v>0</v>
      </c>
      <c r="H478">
        <v>0</v>
      </c>
      <c r="I478">
        <v>0</v>
      </c>
      <c r="J478">
        <v>0</v>
      </c>
      <c r="K478">
        <v>0</v>
      </c>
      <c r="S478" t="s">
        <v>4</v>
      </c>
    </row>
    <row r="479" spans="1:19" x14ac:dyDescent="0.25">
      <c r="A479" s="2">
        <v>40244</v>
      </c>
      <c r="B479" s="3">
        <v>0.3888888888888889</v>
      </c>
      <c r="C479" s="1">
        <v>134</v>
      </c>
      <c r="D479" t="s">
        <v>19</v>
      </c>
      <c r="E479" s="1">
        <v>0</v>
      </c>
      <c r="F479" s="1">
        <v>0</v>
      </c>
      <c r="G479" s="1">
        <v>1</v>
      </c>
      <c r="H479">
        <v>0</v>
      </c>
      <c r="I479">
        <v>0</v>
      </c>
      <c r="J479">
        <v>0</v>
      </c>
      <c r="K479">
        <v>0</v>
      </c>
      <c r="S479" t="s">
        <v>6</v>
      </c>
    </row>
    <row r="480" spans="1:19" x14ac:dyDescent="0.25">
      <c r="A480" s="2">
        <v>40244</v>
      </c>
      <c r="B480" s="3">
        <v>0.40208333333333335</v>
      </c>
      <c r="C480" s="1">
        <v>127</v>
      </c>
      <c r="D480" t="s">
        <v>19</v>
      </c>
      <c r="E480" s="1">
        <v>0</v>
      </c>
      <c r="F480" s="1">
        <v>0</v>
      </c>
      <c r="G480" s="1">
        <v>0</v>
      </c>
      <c r="H480">
        <v>0</v>
      </c>
      <c r="I480">
        <v>0</v>
      </c>
      <c r="J480">
        <v>0</v>
      </c>
      <c r="K480">
        <v>0</v>
      </c>
    </row>
    <row r="481" spans="1:19" x14ac:dyDescent="0.25">
      <c r="A481" s="2">
        <v>40244</v>
      </c>
      <c r="B481" s="3">
        <v>0.4597222222222222</v>
      </c>
      <c r="C481" s="1">
        <v>119</v>
      </c>
      <c r="D481" t="s">
        <v>19</v>
      </c>
      <c r="E481" s="1">
        <v>0</v>
      </c>
      <c r="F481" s="1">
        <v>0</v>
      </c>
      <c r="G481" s="1">
        <v>0</v>
      </c>
      <c r="H481">
        <v>0</v>
      </c>
      <c r="I481">
        <v>0</v>
      </c>
      <c r="J481">
        <v>0</v>
      </c>
      <c r="K481">
        <v>0</v>
      </c>
    </row>
    <row r="482" spans="1:19" x14ac:dyDescent="0.25">
      <c r="A482" s="2">
        <v>40244</v>
      </c>
      <c r="B482" s="3">
        <v>0.59305555555555556</v>
      </c>
      <c r="C482" s="1">
        <v>101</v>
      </c>
      <c r="D482" t="s">
        <v>19</v>
      </c>
      <c r="E482" s="1">
        <v>0</v>
      </c>
      <c r="F482" s="1">
        <v>1</v>
      </c>
      <c r="G482" s="1">
        <v>0</v>
      </c>
      <c r="H482">
        <v>0</v>
      </c>
      <c r="I482">
        <v>0</v>
      </c>
      <c r="J482">
        <v>0</v>
      </c>
      <c r="K482">
        <v>0</v>
      </c>
      <c r="S482" t="s">
        <v>20</v>
      </c>
    </row>
    <row r="483" spans="1:19" x14ac:dyDescent="0.25">
      <c r="A483" s="2">
        <v>40244</v>
      </c>
      <c r="B483" s="3">
        <v>0.70000000000000007</v>
      </c>
      <c r="C483" s="1">
        <v>125</v>
      </c>
      <c r="D483" t="s">
        <v>19</v>
      </c>
      <c r="E483" s="1">
        <v>0</v>
      </c>
      <c r="F483" s="1">
        <v>0</v>
      </c>
      <c r="G483" s="1">
        <v>1</v>
      </c>
      <c r="H483">
        <v>0</v>
      </c>
      <c r="I483">
        <v>0</v>
      </c>
      <c r="J483">
        <v>0</v>
      </c>
      <c r="K483">
        <v>0</v>
      </c>
      <c r="S483" t="s">
        <v>6</v>
      </c>
    </row>
    <row r="484" spans="1:19" x14ac:dyDescent="0.25">
      <c r="A484" s="2">
        <v>40244</v>
      </c>
      <c r="B484" s="3">
        <v>0.74722222222222223</v>
      </c>
      <c r="C484" s="1">
        <v>98</v>
      </c>
      <c r="D484" t="s">
        <v>19</v>
      </c>
      <c r="E484" s="1">
        <v>0</v>
      </c>
      <c r="F484" s="1">
        <v>0</v>
      </c>
      <c r="G484" s="1">
        <v>0</v>
      </c>
      <c r="H484">
        <v>0</v>
      </c>
      <c r="I484">
        <v>0</v>
      </c>
      <c r="J484">
        <v>0</v>
      </c>
      <c r="K484">
        <v>0</v>
      </c>
    </row>
    <row r="485" spans="1:19" x14ac:dyDescent="0.25">
      <c r="A485" s="2">
        <v>40244</v>
      </c>
      <c r="B485" s="3">
        <v>0.86875000000000002</v>
      </c>
      <c r="C485" s="1">
        <v>98</v>
      </c>
      <c r="D485" t="s">
        <v>19</v>
      </c>
      <c r="E485" s="1">
        <v>0</v>
      </c>
      <c r="F485" s="1">
        <v>0</v>
      </c>
      <c r="G485" s="1">
        <v>1</v>
      </c>
      <c r="H485">
        <v>0</v>
      </c>
      <c r="I485">
        <v>0</v>
      </c>
      <c r="J485">
        <v>0</v>
      </c>
      <c r="K485">
        <v>0</v>
      </c>
      <c r="S485" t="s">
        <v>6</v>
      </c>
    </row>
    <row r="486" spans="1:19" x14ac:dyDescent="0.25">
      <c r="A486" s="2">
        <v>40245</v>
      </c>
      <c r="B486" s="3">
        <v>0.19652777777777777</v>
      </c>
      <c r="C486" s="1">
        <v>91</v>
      </c>
      <c r="D486" t="s">
        <v>19</v>
      </c>
      <c r="E486" s="1">
        <v>1</v>
      </c>
      <c r="F486" s="1">
        <v>0</v>
      </c>
      <c r="G486" s="1">
        <v>0</v>
      </c>
      <c r="H486">
        <v>0</v>
      </c>
      <c r="I486">
        <v>0</v>
      </c>
      <c r="J486">
        <v>0</v>
      </c>
      <c r="K486">
        <v>0</v>
      </c>
      <c r="S486" t="s">
        <v>4</v>
      </c>
    </row>
    <row r="487" spans="1:19" x14ac:dyDescent="0.25">
      <c r="A487" s="2">
        <v>40245</v>
      </c>
      <c r="B487" s="3">
        <v>0.31875000000000003</v>
      </c>
      <c r="C487" s="1">
        <v>109</v>
      </c>
      <c r="D487" t="s">
        <v>19</v>
      </c>
      <c r="E487" s="1">
        <v>0</v>
      </c>
      <c r="F487" s="1">
        <v>1</v>
      </c>
      <c r="G487" s="1">
        <v>0</v>
      </c>
      <c r="H487">
        <v>0</v>
      </c>
      <c r="I487">
        <v>0</v>
      </c>
      <c r="J487">
        <v>0</v>
      </c>
      <c r="K487">
        <v>0</v>
      </c>
      <c r="S487" t="s">
        <v>20</v>
      </c>
    </row>
    <row r="488" spans="1:19" x14ac:dyDescent="0.25">
      <c r="A488" s="2">
        <v>40245</v>
      </c>
      <c r="B488" s="3">
        <v>0.3444444444444445</v>
      </c>
      <c r="C488" s="1">
        <v>137</v>
      </c>
      <c r="D488" t="s">
        <v>19</v>
      </c>
      <c r="E488" s="1">
        <v>0</v>
      </c>
      <c r="F488" s="1">
        <v>0</v>
      </c>
      <c r="G488" s="1">
        <v>1</v>
      </c>
      <c r="H488">
        <v>0</v>
      </c>
      <c r="I488">
        <v>0</v>
      </c>
      <c r="J488">
        <v>0</v>
      </c>
      <c r="K488">
        <v>0</v>
      </c>
      <c r="S488" t="s">
        <v>6</v>
      </c>
    </row>
    <row r="489" spans="1:19" x14ac:dyDescent="0.25">
      <c r="A489" s="2">
        <v>40245</v>
      </c>
      <c r="B489" s="3">
        <v>0.39444444444444443</v>
      </c>
      <c r="C489" s="1">
        <v>115</v>
      </c>
      <c r="D489" t="s">
        <v>19</v>
      </c>
      <c r="E489" s="1">
        <v>0</v>
      </c>
      <c r="F489" s="1">
        <v>1</v>
      </c>
      <c r="G489" s="1">
        <v>0</v>
      </c>
      <c r="H489">
        <v>0</v>
      </c>
      <c r="I489">
        <v>0</v>
      </c>
      <c r="J489">
        <v>0</v>
      </c>
      <c r="K489">
        <v>0</v>
      </c>
      <c r="S489" t="s">
        <v>20</v>
      </c>
    </row>
    <row r="490" spans="1:19" x14ac:dyDescent="0.25">
      <c r="A490" s="2">
        <v>40245</v>
      </c>
      <c r="B490" s="3">
        <v>0.49583333333333335</v>
      </c>
      <c r="C490" s="1">
        <v>106</v>
      </c>
      <c r="D490" t="s">
        <v>19</v>
      </c>
      <c r="E490" s="1">
        <v>0</v>
      </c>
      <c r="F490" s="1">
        <v>1</v>
      </c>
      <c r="G490" s="1">
        <v>0</v>
      </c>
      <c r="H490">
        <v>0</v>
      </c>
      <c r="I490">
        <v>0</v>
      </c>
      <c r="J490">
        <v>0</v>
      </c>
      <c r="K490">
        <v>0</v>
      </c>
      <c r="S490" t="s">
        <v>20</v>
      </c>
    </row>
    <row r="491" spans="1:19" x14ac:dyDescent="0.25">
      <c r="A491" s="2">
        <v>40245</v>
      </c>
      <c r="B491" s="3">
        <v>0.58750000000000002</v>
      </c>
      <c r="C491" s="1">
        <v>145</v>
      </c>
      <c r="D491" t="s">
        <v>19</v>
      </c>
      <c r="E491" s="1">
        <v>0</v>
      </c>
      <c r="F491" s="1">
        <v>0</v>
      </c>
      <c r="G491" s="1">
        <v>1</v>
      </c>
      <c r="H491">
        <v>0</v>
      </c>
      <c r="I491">
        <v>0</v>
      </c>
      <c r="J491">
        <v>0</v>
      </c>
      <c r="K491">
        <v>0</v>
      </c>
      <c r="S491" t="s">
        <v>6</v>
      </c>
    </row>
    <row r="492" spans="1:19" x14ac:dyDescent="0.25">
      <c r="A492" s="2">
        <v>40245</v>
      </c>
      <c r="B492" s="3">
        <v>0.75624999999999998</v>
      </c>
      <c r="C492" s="1">
        <v>116</v>
      </c>
      <c r="D492" t="s">
        <v>19</v>
      </c>
      <c r="E492" s="1">
        <v>0</v>
      </c>
      <c r="F492" s="1">
        <v>0</v>
      </c>
      <c r="G492" s="1">
        <v>1</v>
      </c>
      <c r="H492">
        <v>0</v>
      </c>
      <c r="I492">
        <v>0</v>
      </c>
      <c r="J492">
        <v>0</v>
      </c>
      <c r="K492">
        <v>0</v>
      </c>
      <c r="S492" t="s">
        <v>6</v>
      </c>
    </row>
    <row r="493" spans="1:19" x14ac:dyDescent="0.25">
      <c r="A493" s="2">
        <v>40246</v>
      </c>
      <c r="B493" s="3">
        <v>0.25833333333333336</v>
      </c>
      <c r="C493" s="1">
        <v>109</v>
      </c>
      <c r="D493" t="s">
        <v>19</v>
      </c>
      <c r="E493" s="1">
        <v>1</v>
      </c>
      <c r="F493" s="1">
        <v>0</v>
      </c>
      <c r="G493" s="1">
        <v>0</v>
      </c>
      <c r="H493">
        <v>0</v>
      </c>
      <c r="I493">
        <v>0</v>
      </c>
      <c r="J493">
        <v>0</v>
      </c>
      <c r="K493">
        <v>0</v>
      </c>
      <c r="S493" t="s">
        <v>4</v>
      </c>
    </row>
    <row r="494" spans="1:19" x14ac:dyDescent="0.25">
      <c r="A494" s="2">
        <v>40246</v>
      </c>
      <c r="B494" s="3">
        <v>0.32430555555555557</v>
      </c>
      <c r="C494" s="1">
        <v>110</v>
      </c>
      <c r="D494" t="s">
        <v>19</v>
      </c>
      <c r="E494" s="1">
        <v>0</v>
      </c>
      <c r="F494" s="1">
        <v>0</v>
      </c>
      <c r="G494" s="1">
        <v>1</v>
      </c>
      <c r="H494">
        <v>0</v>
      </c>
      <c r="I494">
        <v>0</v>
      </c>
      <c r="J494">
        <v>0</v>
      </c>
      <c r="K494">
        <v>0</v>
      </c>
      <c r="S494" t="s">
        <v>6</v>
      </c>
    </row>
    <row r="495" spans="1:19" x14ac:dyDescent="0.25">
      <c r="A495" s="2">
        <v>40246</v>
      </c>
      <c r="B495" s="3">
        <v>0.85555555555555562</v>
      </c>
      <c r="C495" s="1">
        <v>80</v>
      </c>
      <c r="D495" t="s">
        <v>19</v>
      </c>
      <c r="E495" s="1">
        <v>0</v>
      </c>
      <c r="F495" s="1">
        <v>1</v>
      </c>
      <c r="G495" s="1">
        <v>0</v>
      </c>
      <c r="H495">
        <v>0</v>
      </c>
      <c r="I495">
        <v>0</v>
      </c>
      <c r="J495">
        <v>0</v>
      </c>
      <c r="K495">
        <v>0</v>
      </c>
      <c r="S495" t="s">
        <v>20</v>
      </c>
    </row>
    <row r="496" spans="1:19" x14ac:dyDescent="0.25">
      <c r="A496" s="2">
        <v>40247</v>
      </c>
      <c r="B496" s="3">
        <v>0.23680555555555557</v>
      </c>
      <c r="C496" s="1">
        <v>99</v>
      </c>
      <c r="D496" t="s">
        <v>19</v>
      </c>
      <c r="E496" s="1">
        <v>1</v>
      </c>
      <c r="F496" s="1">
        <v>0</v>
      </c>
      <c r="G496" s="1">
        <v>0</v>
      </c>
      <c r="H496">
        <v>0</v>
      </c>
      <c r="I496">
        <v>0</v>
      </c>
      <c r="J496">
        <v>0</v>
      </c>
      <c r="K496">
        <v>0</v>
      </c>
      <c r="S496" t="s">
        <v>4</v>
      </c>
    </row>
    <row r="497" spans="1:19" x14ac:dyDescent="0.25">
      <c r="A497" s="2">
        <v>40247</v>
      </c>
      <c r="B497" s="3">
        <v>0.33819444444444446</v>
      </c>
      <c r="C497" s="1">
        <v>108</v>
      </c>
      <c r="D497" t="s">
        <v>19</v>
      </c>
      <c r="E497" s="1">
        <v>0</v>
      </c>
      <c r="F497" s="1">
        <v>0</v>
      </c>
      <c r="G497" s="1">
        <v>1</v>
      </c>
      <c r="H497">
        <v>0</v>
      </c>
      <c r="I497">
        <v>0</v>
      </c>
      <c r="J497">
        <v>0</v>
      </c>
      <c r="K497">
        <v>0</v>
      </c>
      <c r="S497" t="s">
        <v>6</v>
      </c>
    </row>
    <row r="498" spans="1:19" x14ac:dyDescent="0.25">
      <c r="A498" s="2">
        <v>40247</v>
      </c>
      <c r="B498" s="3">
        <v>0.4861111111111111</v>
      </c>
      <c r="C498" s="1">
        <v>163</v>
      </c>
      <c r="D498" t="s">
        <v>19</v>
      </c>
      <c r="E498" s="1">
        <v>0</v>
      </c>
      <c r="F498" s="1">
        <v>0</v>
      </c>
      <c r="G498" s="1">
        <v>1</v>
      </c>
      <c r="H498">
        <v>0</v>
      </c>
      <c r="I498">
        <v>0</v>
      </c>
      <c r="J498">
        <v>0</v>
      </c>
      <c r="K498">
        <v>0</v>
      </c>
      <c r="S498" t="s">
        <v>6</v>
      </c>
    </row>
    <row r="499" spans="1:19" x14ac:dyDescent="0.25">
      <c r="A499" s="2">
        <v>40247</v>
      </c>
      <c r="B499" s="3">
        <v>0.55069444444444449</v>
      </c>
      <c r="C499" s="1">
        <v>105</v>
      </c>
      <c r="D499" t="s">
        <v>19</v>
      </c>
      <c r="E499" s="1">
        <v>0</v>
      </c>
      <c r="F499" s="1">
        <v>0</v>
      </c>
      <c r="G499" s="1">
        <v>1</v>
      </c>
      <c r="H499">
        <v>0</v>
      </c>
      <c r="I499">
        <v>0</v>
      </c>
      <c r="J499">
        <v>0</v>
      </c>
      <c r="K499">
        <v>0</v>
      </c>
      <c r="S499" t="s">
        <v>6</v>
      </c>
    </row>
    <row r="500" spans="1:19" x14ac:dyDescent="0.25">
      <c r="A500" s="2">
        <v>40247</v>
      </c>
      <c r="B500" s="3">
        <v>0.62430555555555556</v>
      </c>
      <c r="C500" s="1">
        <v>103</v>
      </c>
      <c r="D500" t="s">
        <v>19</v>
      </c>
      <c r="E500" s="1">
        <v>0</v>
      </c>
      <c r="F500" s="1">
        <v>0</v>
      </c>
      <c r="G500" s="1">
        <v>0</v>
      </c>
      <c r="H500">
        <v>0</v>
      </c>
      <c r="I500">
        <v>0</v>
      </c>
      <c r="J500">
        <v>0</v>
      </c>
      <c r="K500">
        <v>0</v>
      </c>
    </row>
    <row r="501" spans="1:19" x14ac:dyDescent="0.25">
      <c r="A501" s="2">
        <v>40248</v>
      </c>
      <c r="B501" s="3">
        <v>0.18888888888888888</v>
      </c>
      <c r="C501" s="1">
        <v>102</v>
      </c>
      <c r="D501" t="s">
        <v>19</v>
      </c>
      <c r="E501" s="1">
        <v>1</v>
      </c>
      <c r="F501" s="1">
        <v>0</v>
      </c>
      <c r="G501" s="1">
        <v>0</v>
      </c>
      <c r="H501">
        <v>0</v>
      </c>
      <c r="I501">
        <v>0</v>
      </c>
      <c r="J501">
        <v>0</v>
      </c>
      <c r="K501">
        <v>0</v>
      </c>
      <c r="S501" t="s">
        <v>4</v>
      </c>
    </row>
    <row r="502" spans="1:19" x14ac:dyDescent="0.25">
      <c r="A502" s="2">
        <v>40248</v>
      </c>
      <c r="B502" s="3">
        <v>0.75347222222222221</v>
      </c>
      <c r="C502" s="1">
        <v>105</v>
      </c>
      <c r="D502" t="s">
        <v>19</v>
      </c>
      <c r="E502" s="1">
        <v>0</v>
      </c>
      <c r="F502" s="1">
        <v>1</v>
      </c>
      <c r="G502" s="1">
        <v>0</v>
      </c>
      <c r="H502">
        <v>0</v>
      </c>
      <c r="I502">
        <v>0</v>
      </c>
      <c r="J502">
        <v>0</v>
      </c>
      <c r="K502">
        <v>0</v>
      </c>
      <c r="S502" t="s">
        <v>20</v>
      </c>
    </row>
    <row r="503" spans="1:19" x14ac:dyDescent="0.25">
      <c r="A503" s="2">
        <v>40249</v>
      </c>
      <c r="B503" s="3">
        <v>0.23124999999999998</v>
      </c>
      <c r="C503" s="1">
        <v>101</v>
      </c>
      <c r="D503" t="s">
        <v>19</v>
      </c>
      <c r="E503" s="1">
        <v>1</v>
      </c>
      <c r="F503" s="1">
        <v>0</v>
      </c>
      <c r="G503" s="1">
        <v>0</v>
      </c>
      <c r="H503">
        <v>0</v>
      </c>
      <c r="I503">
        <v>0</v>
      </c>
      <c r="J503">
        <v>0</v>
      </c>
      <c r="K503">
        <v>0</v>
      </c>
      <c r="S503" t="s">
        <v>4</v>
      </c>
    </row>
    <row r="504" spans="1:19" x14ac:dyDescent="0.25">
      <c r="A504" s="2">
        <v>40249</v>
      </c>
      <c r="B504" s="3">
        <v>0.33124999999999999</v>
      </c>
      <c r="C504" s="1">
        <v>142</v>
      </c>
      <c r="D504" t="s">
        <v>19</v>
      </c>
      <c r="E504" s="1">
        <v>0</v>
      </c>
      <c r="F504" s="1">
        <v>0</v>
      </c>
      <c r="G504" s="1">
        <v>1</v>
      </c>
      <c r="H504">
        <v>0</v>
      </c>
      <c r="I504">
        <v>0</v>
      </c>
      <c r="J504">
        <v>0</v>
      </c>
      <c r="K504">
        <v>0</v>
      </c>
      <c r="S504" t="s">
        <v>6</v>
      </c>
    </row>
    <row r="505" spans="1:19" x14ac:dyDescent="0.25">
      <c r="A505" s="2">
        <v>40249</v>
      </c>
      <c r="B505" s="3">
        <v>0.54305555555555551</v>
      </c>
      <c r="C505" s="1">
        <v>99</v>
      </c>
      <c r="D505" t="s">
        <v>19</v>
      </c>
      <c r="E505" s="1">
        <v>0</v>
      </c>
      <c r="F505" s="1">
        <v>1</v>
      </c>
      <c r="G505" s="1">
        <v>0</v>
      </c>
      <c r="H505">
        <v>0</v>
      </c>
      <c r="I505">
        <v>0</v>
      </c>
      <c r="J505">
        <v>0</v>
      </c>
      <c r="K505">
        <v>0</v>
      </c>
      <c r="S505" t="s">
        <v>20</v>
      </c>
    </row>
    <row r="506" spans="1:19" x14ac:dyDescent="0.25">
      <c r="A506" s="2">
        <v>40249</v>
      </c>
      <c r="B506" s="3">
        <v>0.70486111111111116</v>
      </c>
      <c r="C506" s="1">
        <v>111</v>
      </c>
      <c r="D506" t="s">
        <v>19</v>
      </c>
      <c r="E506" s="1">
        <v>0</v>
      </c>
      <c r="F506" s="1">
        <v>0</v>
      </c>
      <c r="G506" s="1">
        <v>1</v>
      </c>
      <c r="H506">
        <v>0</v>
      </c>
      <c r="I506">
        <v>0</v>
      </c>
      <c r="J506">
        <v>0</v>
      </c>
      <c r="K506">
        <v>0</v>
      </c>
      <c r="S506" t="s">
        <v>6</v>
      </c>
    </row>
    <row r="507" spans="1:19" x14ac:dyDescent="0.25">
      <c r="A507" s="2">
        <v>40250</v>
      </c>
      <c r="B507" s="3">
        <v>0.20069444444444443</v>
      </c>
      <c r="C507" s="1">
        <v>107</v>
      </c>
      <c r="D507" t="s">
        <v>19</v>
      </c>
      <c r="E507" s="1">
        <v>1</v>
      </c>
      <c r="F507" s="1">
        <v>0</v>
      </c>
      <c r="G507" s="1">
        <v>0</v>
      </c>
      <c r="H507">
        <v>0</v>
      </c>
      <c r="I507">
        <v>0</v>
      </c>
      <c r="J507">
        <v>0</v>
      </c>
      <c r="K507">
        <v>0</v>
      </c>
      <c r="S507" t="s">
        <v>4</v>
      </c>
    </row>
    <row r="508" spans="1:19" x14ac:dyDescent="0.25">
      <c r="A508" s="2">
        <v>40250</v>
      </c>
      <c r="B508" s="3">
        <v>0.79375000000000007</v>
      </c>
      <c r="C508" s="1">
        <v>86</v>
      </c>
      <c r="D508" t="s">
        <v>19</v>
      </c>
      <c r="E508" s="1">
        <v>0</v>
      </c>
      <c r="F508" s="1">
        <v>0</v>
      </c>
      <c r="G508" s="1">
        <v>1</v>
      </c>
      <c r="H508">
        <v>0</v>
      </c>
      <c r="I508">
        <v>0</v>
      </c>
      <c r="J508">
        <v>0</v>
      </c>
      <c r="K508">
        <v>0</v>
      </c>
      <c r="S508" t="s">
        <v>6</v>
      </c>
    </row>
    <row r="509" spans="1:19" x14ac:dyDescent="0.25">
      <c r="A509" s="2">
        <v>40251</v>
      </c>
      <c r="B509" s="3">
        <v>0.28750000000000003</v>
      </c>
      <c r="C509" s="1">
        <v>98</v>
      </c>
      <c r="D509" t="s">
        <v>19</v>
      </c>
      <c r="E509" s="1">
        <v>1</v>
      </c>
      <c r="F509" s="1">
        <v>0</v>
      </c>
      <c r="G509" s="1">
        <v>0</v>
      </c>
      <c r="H509">
        <v>0</v>
      </c>
      <c r="I509">
        <v>0</v>
      </c>
      <c r="J509">
        <v>0</v>
      </c>
      <c r="K509">
        <v>0</v>
      </c>
      <c r="S509" t="s">
        <v>4</v>
      </c>
    </row>
    <row r="510" spans="1:19" x14ac:dyDescent="0.25">
      <c r="A510" s="2">
        <v>40251</v>
      </c>
      <c r="B510" s="3">
        <v>0.70277777777777783</v>
      </c>
      <c r="C510" s="1">
        <v>91</v>
      </c>
      <c r="D510" t="s">
        <v>19</v>
      </c>
      <c r="E510" s="1">
        <v>0</v>
      </c>
      <c r="F510" s="1">
        <v>1</v>
      </c>
      <c r="G510" s="1">
        <v>0</v>
      </c>
      <c r="H510">
        <v>0</v>
      </c>
      <c r="I510">
        <v>0</v>
      </c>
      <c r="J510">
        <v>0</v>
      </c>
      <c r="K510">
        <v>0</v>
      </c>
      <c r="S510" t="s">
        <v>20</v>
      </c>
    </row>
    <row r="511" spans="1:19" x14ac:dyDescent="0.25">
      <c r="A511" s="2">
        <v>40252</v>
      </c>
      <c r="B511" s="3">
        <v>0.27847222222222223</v>
      </c>
      <c r="C511" s="1">
        <v>111</v>
      </c>
      <c r="D511" t="s">
        <v>19</v>
      </c>
      <c r="E511" s="1">
        <v>1</v>
      </c>
      <c r="F511" s="1">
        <v>0</v>
      </c>
      <c r="G511" s="1">
        <v>0</v>
      </c>
      <c r="H511">
        <v>0</v>
      </c>
      <c r="I511">
        <v>0</v>
      </c>
      <c r="J511">
        <v>0</v>
      </c>
      <c r="K511">
        <v>0</v>
      </c>
      <c r="S511" t="s">
        <v>4</v>
      </c>
    </row>
    <row r="512" spans="1:19" x14ac:dyDescent="0.25">
      <c r="A512" s="2">
        <v>40252</v>
      </c>
      <c r="B512" s="3">
        <v>0.47222222222222227</v>
      </c>
      <c r="C512" s="1">
        <v>115</v>
      </c>
      <c r="D512" t="s">
        <v>19</v>
      </c>
      <c r="E512" s="1">
        <v>0</v>
      </c>
      <c r="F512" s="1">
        <v>0</v>
      </c>
      <c r="G512" s="1">
        <v>1</v>
      </c>
      <c r="H512">
        <v>0</v>
      </c>
      <c r="I512">
        <v>0</v>
      </c>
      <c r="J512">
        <v>0</v>
      </c>
      <c r="K512">
        <v>0</v>
      </c>
      <c r="S512" t="s">
        <v>6</v>
      </c>
    </row>
    <row r="513" spans="1:19" x14ac:dyDescent="0.25">
      <c r="A513" s="2">
        <v>40253</v>
      </c>
      <c r="B513" s="3">
        <v>0.22777777777777777</v>
      </c>
      <c r="C513" s="1">
        <v>103</v>
      </c>
      <c r="D513" t="s">
        <v>19</v>
      </c>
      <c r="E513" s="1">
        <v>1</v>
      </c>
      <c r="F513" s="1">
        <v>0</v>
      </c>
      <c r="G513" s="1">
        <v>0</v>
      </c>
      <c r="H513">
        <v>0</v>
      </c>
      <c r="I513">
        <v>0</v>
      </c>
      <c r="J513">
        <v>0</v>
      </c>
      <c r="K513">
        <v>0</v>
      </c>
      <c r="S513" t="s">
        <v>4</v>
      </c>
    </row>
    <row r="514" spans="1:19" x14ac:dyDescent="0.25">
      <c r="A514" s="2">
        <v>40254</v>
      </c>
      <c r="B514" s="3">
        <v>0.23333333333333331</v>
      </c>
      <c r="C514" s="1">
        <v>96</v>
      </c>
      <c r="D514" t="s">
        <v>19</v>
      </c>
      <c r="E514" s="1">
        <v>1</v>
      </c>
      <c r="F514" s="1">
        <v>0</v>
      </c>
      <c r="G514" s="1">
        <v>0</v>
      </c>
      <c r="H514">
        <v>0</v>
      </c>
      <c r="I514">
        <v>0</v>
      </c>
      <c r="J514">
        <v>0</v>
      </c>
      <c r="K514">
        <v>0</v>
      </c>
      <c r="S514" t="s">
        <v>4</v>
      </c>
    </row>
    <row r="515" spans="1:19" x14ac:dyDescent="0.25">
      <c r="A515" s="2">
        <v>40255</v>
      </c>
      <c r="B515" s="3">
        <v>7.9861111111111105E-2</v>
      </c>
      <c r="C515" s="1">
        <v>105</v>
      </c>
      <c r="D515" t="s">
        <v>19</v>
      </c>
      <c r="E515" s="1">
        <v>1</v>
      </c>
      <c r="F515" s="1">
        <v>0</v>
      </c>
      <c r="G515" s="1">
        <v>0</v>
      </c>
      <c r="H515">
        <v>0</v>
      </c>
      <c r="I515">
        <v>0</v>
      </c>
      <c r="J515">
        <v>0</v>
      </c>
      <c r="K515">
        <v>0</v>
      </c>
      <c r="S515" t="s">
        <v>4</v>
      </c>
    </row>
    <row r="516" spans="1:19" x14ac:dyDescent="0.25">
      <c r="A516" s="2">
        <v>40255</v>
      </c>
      <c r="B516" s="3">
        <v>0.31388888888888888</v>
      </c>
      <c r="C516" s="1">
        <v>161</v>
      </c>
      <c r="D516" t="s">
        <v>19</v>
      </c>
      <c r="E516" s="1">
        <v>0</v>
      </c>
      <c r="F516" s="1">
        <v>0</v>
      </c>
      <c r="G516" s="1">
        <v>1</v>
      </c>
      <c r="H516">
        <v>0</v>
      </c>
      <c r="I516">
        <v>0</v>
      </c>
      <c r="J516">
        <v>0</v>
      </c>
      <c r="K516">
        <v>0</v>
      </c>
      <c r="S516" t="s">
        <v>6</v>
      </c>
    </row>
    <row r="517" spans="1:19" x14ac:dyDescent="0.25">
      <c r="A517" s="2">
        <v>40255</v>
      </c>
      <c r="B517" s="3">
        <v>0.47152777777777777</v>
      </c>
      <c r="C517" s="1">
        <v>96</v>
      </c>
      <c r="D517" t="s">
        <v>19</v>
      </c>
      <c r="E517" s="1">
        <v>0</v>
      </c>
      <c r="F517" s="1">
        <v>1</v>
      </c>
      <c r="G517" s="1">
        <v>0</v>
      </c>
      <c r="H517">
        <v>0</v>
      </c>
      <c r="I517">
        <v>0</v>
      </c>
      <c r="J517">
        <v>0</v>
      </c>
      <c r="K517">
        <v>0</v>
      </c>
      <c r="S517" t="s">
        <v>20</v>
      </c>
    </row>
    <row r="518" spans="1:19" x14ac:dyDescent="0.25">
      <c r="A518" s="2">
        <v>40255</v>
      </c>
      <c r="B518" s="3">
        <v>0.53055555555555556</v>
      </c>
      <c r="C518" s="1">
        <v>130</v>
      </c>
      <c r="D518" t="s">
        <v>19</v>
      </c>
      <c r="E518" s="1">
        <v>0</v>
      </c>
      <c r="F518" s="1">
        <v>0</v>
      </c>
      <c r="G518" s="1">
        <v>1</v>
      </c>
      <c r="H518">
        <v>0</v>
      </c>
      <c r="I518">
        <v>0</v>
      </c>
      <c r="J518">
        <v>0</v>
      </c>
      <c r="K518">
        <v>0</v>
      </c>
      <c r="S518" t="s">
        <v>6</v>
      </c>
    </row>
    <row r="519" spans="1:19" x14ac:dyDescent="0.25">
      <c r="A519" s="2">
        <v>40255</v>
      </c>
      <c r="B519" s="3">
        <v>0.6479166666666667</v>
      </c>
      <c r="C519" s="1">
        <v>96</v>
      </c>
      <c r="D519" t="s">
        <v>19</v>
      </c>
      <c r="E519" s="1">
        <v>0</v>
      </c>
      <c r="F519" s="1">
        <v>0</v>
      </c>
      <c r="G519" s="1">
        <v>0</v>
      </c>
      <c r="H519">
        <v>0</v>
      </c>
      <c r="I519">
        <v>0</v>
      </c>
      <c r="J519">
        <v>0</v>
      </c>
      <c r="K519">
        <v>0</v>
      </c>
    </row>
    <row r="520" spans="1:19" x14ac:dyDescent="0.25">
      <c r="A520" s="2">
        <v>40256</v>
      </c>
      <c r="B520" s="3">
        <v>0.1986111111111111</v>
      </c>
      <c r="C520" s="1">
        <v>105</v>
      </c>
      <c r="D520" t="s">
        <v>19</v>
      </c>
      <c r="E520" s="1">
        <v>1</v>
      </c>
      <c r="F520" s="1">
        <v>0</v>
      </c>
      <c r="G520" s="1">
        <v>0</v>
      </c>
      <c r="H520">
        <v>0</v>
      </c>
      <c r="I520">
        <v>0</v>
      </c>
      <c r="J520">
        <v>0</v>
      </c>
      <c r="K520">
        <v>0</v>
      </c>
      <c r="S520" t="s">
        <v>4</v>
      </c>
    </row>
    <row r="521" spans="1:19" x14ac:dyDescent="0.25">
      <c r="A521" s="2">
        <v>40257</v>
      </c>
      <c r="B521" s="3">
        <v>0.20902777777777778</v>
      </c>
      <c r="C521" s="1">
        <v>124</v>
      </c>
      <c r="D521" t="s">
        <v>19</v>
      </c>
      <c r="E521" s="1">
        <v>1</v>
      </c>
      <c r="F521" s="1">
        <v>0</v>
      </c>
      <c r="G521" s="1">
        <v>0</v>
      </c>
      <c r="H521">
        <v>0</v>
      </c>
      <c r="I521">
        <v>0</v>
      </c>
      <c r="J521">
        <v>0</v>
      </c>
      <c r="K521">
        <v>0</v>
      </c>
      <c r="S521" t="s">
        <v>4</v>
      </c>
    </row>
    <row r="522" spans="1:19" x14ac:dyDescent="0.25">
      <c r="A522" s="2">
        <v>40257</v>
      </c>
      <c r="B522" s="3">
        <v>0.98472222222222217</v>
      </c>
      <c r="C522" s="1">
        <v>104</v>
      </c>
      <c r="D522" t="s">
        <v>19</v>
      </c>
      <c r="E522" s="1">
        <v>0</v>
      </c>
      <c r="F522" s="1">
        <v>0</v>
      </c>
      <c r="G522" s="1">
        <v>0</v>
      </c>
      <c r="H522">
        <v>0</v>
      </c>
      <c r="I522">
        <v>0</v>
      </c>
      <c r="J522">
        <v>0</v>
      </c>
      <c r="K522">
        <v>0</v>
      </c>
    </row>
    <row r="523" spans="1:19" x14ac:dyDescent="0.25">
      <c r="A523" s="2">
        <v>40258</v>
      </c>
      <c r="B523" s="3">
        <v>0.60277777777777775</v>
      </c>
      <c r="C523" s="1">
        <v>129</v>
      </c>
      <c r="D523" t="s">
        <v>19</v>
      </c>
      <c r="E523" s="1">
        <v>0</v>
      </c>
      <c r="F523" s="1">
        <v>0</v>
      </c>
      <c r="G523" s="1">
        <v>1</v>
      </c>
      <c r="H523">
        <v>0</v>
      </c>
      <c r="I523">
        <v>0</v>
      </c>
      <c r="J523">
        <v>0</v>
      </c>
      <c r="K523">
        <v>0</v>
      </c>
      <c r="S523" t="s">
        <v>6</v>
      </c>
    </row>
    <row r="524" spans="1:19" x14ac:dyDescent="0.25">
      <c r="A524" s="2">
        <v>40258</v>
      </c>
      <c r="B524" s="3">
        <v>0.75902777777777775</v>
      </c>
      <c r="C524" s="1">
        <v>127</v>
      </c>
      <c r="D524" t="s">
        <v>19</v>
      </c>
      <c r="E524" s="1">
        <v>0</v>
      </c>
      <c r="F524" s="1">
        <v>1</v>
      </c>
      <c r="G524" s="1">
        <v>0</v>
      </c>
      <c r="H524">
        <v>0</v>
      </c>
      <c r="I524">
        <v>0</v>
      </c>
      <c r="J524">
        <v>0</v>
      </c>
      <c r="K524">
        <v>0</v>
      </c>
      <c r="S524" t="s">
        <v>20</v>
      </c>
    </row>
    <row r="525" spans="1:19" x14ac:dyDescent="0.25">
      <c r="A525" s="2">
        <v>40259</v>
      </c>
      <c r="B525" s="3">
        <v>0.22361111111111109</v>
      </c>
      <c r="C525" s="1">
        <v>112</v>
      </c>
      <c r="D525" t="s">
        <v>19</v>
      </c>
      <c r="E525" s="1">
        <v>1</v>
      </c>
      <c r="F525" s="1">
        <v>0</v>
      </c>
      <c r="G525" s="1">
        <v>0</v>
      </c>
      <c r="H525">
        <v>0</v>
      </c>
      <c r="I525">
        <v>0</v>
      </c>
      <c r="J525">
        <v>0</v>
      </c>
      <c r="K525">
        <v>0</v>
      </c>
      <c r="S525" t="s">
        <v>4</v>
      </c>
    </row>
    <row r="526" spans="1:19" x14ac:dyDescent="0.25">
      <c r="A526" s="2">
        <v>40259</v>
      </c>
      <c r="B526" s="3">
        <v>0.47430555555555554</v>
      </c>
      <c r="C526" s="1">
        <v>145</v>
      </c>
      <c r="D526" t="s">
        <v>19</v>
      </c>
      <c r="E526" s="1">
        <v>0</v>
      </c>
      <c r="F526" s="1">
        <v>1</v>
      </c>
      <c r="G526" s="1">
        <v>0</v>
      </c>
      <c r="H526">
        <v>0</v>
      </c>
      <c r="I526">
        <v>0</v>
      </c>
      <c r="J526">
        <v>0</v>
      </c>
      <c r="K526">
        <v>0</v>
      </c>
      <c r="S526" t="s">
        <v>20</v>
      </c>
    </row>
    <row r="527" spans="1:19" x14ac:dyDescent="0.25">
      <c r="A527" s="2">
        <v>40259</v>
      </c>
      <c r="B527" s="3">
        <v>0.67638888888888893</v>
      </c>
      <c r="C527" s="1">
        <v>102</v>
      </c>
      <c r="D527" t="s">
        <v>19</v>
      </c>
      <c r="E527" s="1">
        <v>0</v>
      </c>
      <c r="F527" s="1">
        <v>1</v>
      </c>
      <c r="G527" s="1">
        <v>0</v>
      </c>
      <c r="H527">
        <v>0</v>
      </c>
      <c r="I527">
        <v>0</v>
      </c>
      <c r="J527">
        <v>0</v>
      </c>
      <c r="K527">
        <v>0</v>
      </c>
      <c r="S527" t="s">
        <v>20</v>
      </c>
    </row>
    <row r="528" spans="1:19" x14ac:dyDescent="0.25">
      <c r="A528" s="2">
        <v>40260</v>
      </c>
      <c r="B528" s="3">
        <v>0.27916666666666667</v>
      </c>
      <c r="C528" s="1">
        <v>115</v>
      </c>
      <c r="D528" t="s">
        <v>19</v>
      </c>
      <c r="E528" s="1">
        <v>1</v>
      </c>
      <c r="F528" s="1">
        <v>0</v>
      </c>
      <c r="G528" s="1">
        <v>0</v>
      </c>
      <c r="H528">
        <v>0</v>
      </c>
      <c r="I528">
        <v>0</v>
      </c>
      <c r="J528">
        <v>0</v>
      </c>
      <c r="K528">
        <v>0</v>
      </c>
      <c r="S528" t="s">
        <v>4</v>
      </c>
    </row>
    <row r="529" spans="1:19" x14ac:dyDescent="0.25">
      <c r="A529" s="2">
        <v>40260</v>
      </c>
      <c r="B529" s="3">
        <v>0.79652777777777783</v>
      </c>
      <c r="C529" s="1">
        <v>118</v>
      </c>
      <c r="D529" t="s">
        <v>19</v>
      </c>
      <c r="E529" s="1">
        <v>0</v>
      </c>
      <c r="F529" s="1">
        <v>1</v>
      </c>
      <c r="G529" s="1">
        <v>0</v>
      </c>
      <c r="H529">
        <v>0</v>
      </c>
      <c r="I529">
        <v>0</v>
      </c>
      <c r="J529">
        <v>0</v>
      </c>
      <c r="K529">
        <v>0</v>
      </c>
      <c r="S529" t="s">
        <v>20</v>
      </c>
    </row>
    <row r="530" spans="1:19" x14ac:dyDescent="0.25">
      <c r="A530" s="2">
        <v>40261</v>
      </c>
      <c r="B530" s="3">
        <v>0.24930555555555556</v>
      </c>
      <c r="C530" s="1">
        <v>107</v>
      </c>
      <c r="D530" t="s">
        <v>19</v>
      </c>
      <c r="E530" s="1">
        <v>1</v>
      </c>
      <c r="F530" s="1">
        <v>0</v>
      </c>
      <c r="G530" s="1">
        <v>0</v>
      </c>
      <c r="H530">
        <v>0</v>
      </c>
      <c r="I530">
        <v>0</v>
      </c>
      <c r="J530">
        <v>0</v>
      </c>
      <c r="K530">
        <v>0</v>
      </c>
      <c r="S530" t="s">
        <v>4</v>
      </c>
    </row>
    <row r="531" spans="1:19" x14ac:dyDescent="0.25">
      <c r="A531" s="2">
        <v>40261</v>
      </c>
      <c r="B531" s="3">
        <v>0.47430555555555554</v>
      </c>
      <c r="C531" s="1">
        <v>106</v>
      </c>
      <c r="D531" t="s">
        <v>19</v>
      </c>
      <c r="E531" s="1">
        <v>0</v>
      </c>
      <c r="F531" s="1">
        <v>1</v>
      </c>
      <c r="G531" s="1">
        <v>0</v>
      </c>
      <c r="H531">
        <v>0</v>
      </c>
      <c r="I531">
        <v>0</v>
      </c>
      <c r="J531">
        <v>0</v>
      </c>
      <c r="K531">
        <v>0</v>
      </c>
      <c r="S531" t="s">
        <v>20</v>
      </c>
    </row>
    <row r="532" spans="1:19" x14ac:dyDescent="0.25">
      <c r="A532" s="2">
        <v>40261</v>
      </c>
      <c r="B532" s="3">
        <v>0.66736111111111107</v>
      </c>
      <c r="C532" s="1">
        <v>106</v>
      </c>
      <c r="D532" t="s">
        <v>19</v>
      </c>
      <c r="E532" s="1">
        <v>0</v>
      </c>
      <c r="F532" s="1">
        <v>0</v>
      </c>
      <c r="G532" s="1">
        <v>1</v>
      </c>
      <c r="H532">
        <v>0</v>
      </c>
      <c r="I532">
        <v>0</v>
      </c>
      <c r="J532">
        <v>0</v>
      </c>
      <c r="K532">
        <v>0</v>
      </c>
      <c r="S532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00"/>
  <sheetViews>
    <sheetView tabSelected="1" topLeftCell="B1" workbookViewId="0">
      <selection activeCell="I1" sqref="I1"/>
    </sheetView>
  </sheetViews>
  <sheetFormatPr defaultRowHeight="15" x14ac:dyDescent="0.35"/>
  <cols>
    <col min="1" max="1" width="12.85546875" style="10" customWidth="1"/>
    <col min="2" max="2" width="14" style="11" customWidth="1"/>
    <col min="3" max="3" width="14.5703125" style="9" customWidth="1"/>
    <col min="4" max="4" width="12.7109375" style="9" customWidth="1"/>
    <col min="5" max="5" width="12.140625" style="9" customWidth="1"/>
    <col min="6" max="6" width="10" style="9" customWidth="1"/>
    <col min="7" max="9" width="9.140625" style="9"/>
    <col min="10" max="10" width="14" style="14" customWidth="1"/>
    <col min="11" max="16384" width="9.140625" style="9"/>
  </cols>
  <sheetData>
    <row r="1" spans="1:11" ht="45.75" thickBot="1" x14ac:dyDescent="0.4">
      <c r="A1" s="4" t="s">
        <v>30</v>
      </c>
      <c r="B1" s="5" t="s">
        <v>27</v>
      </c>
      <c r="C1" s="6" t="s">
        <v>31</v>
      </c>
      <c r="D1" s="6" t="s">
        <v>21</v>
      </c>
      <c r="E1" s="7" t="s">
        <v>22</v>
      </c>
      <c r="F1" s="7" t="s">
        <v>23</v>
      </c>
      <c r="G1" s="7" t="s">
        <v>24</v>
      </c>
      <c r="H1" s="7" t="s">
        <v>25</v>
      </c>
      <c r="I1" s="7" t="s">
        <v>26</v>
      </c>
      <c r="J1" s="8" t="s">
        <v>28</v>
      </c>
    </row>
    <row r="2" spans="1:11" ht="17.25" thickTop="1" x14ac:dyDescent="0.35">
      <c r="A2" s="10">
        <v>1</v>
      </c>
      <c r="B2" s="1">
        <v>33.304687999999999</v>
      </c>
      <c r="C2" s="12">
        <f>K6</f>
        <v>0.55000000000000004</v>
      </c>
      <c r="D2" s="12">
        <f>K3</f>
        <v>1.4E-2</v>
      </c>
      <c r="E2" s="13">
        <v>1</v>
      </c>
      <c r="F2" s="13">
        <v>0</v>
      </c>
      <c r="G2" s="13">
        <f>E2+D2</f>
        <v>1.014</v>
      </c>
      <c r="H2" s="13">
        <f>F2</f>
        <v>0</v>
      </c>
      <c r="I2" s="13">
        <f t="shared" ref="I2" si="0">G2/(G2+C2)</f>
        <v>0.64833759590792839</v>
      </c>
      <c r="K2" s="15" t="s">
        <v>29</v>
      </c>
    </row>
    <row r="3" spans="1:11" ht="16.5" x14ac:dyDescent="0.35">
      <c r="A3" s="10">
        <f>A2+1</f>
        <v>2</v>
      </c>
      <c r="B3" s="1">
        <v>33.011718999999999</v>
      </c>
      <c r="C3" s="12">
        <f>C2</f>
        <v>0.55000000000000004</v>
      </c>
      <c r="D3" s="12">
        <f>D2</f>
        <v>1.4E-2</v>
      </c>
      <c r="E3" s="13">
        <f>(1-I3)*G3</f>
        <v>0.35658567774936062</v>
      </c>
      <c r="F3" s="13">
        <f>H3+I3*(B3-H3)</f>
        <v>21.40273853324808</v>
      </c>
      <c r="G3" s="13">
        <f>E2+D2</f>
        <v>1.014</v>
      </c>
      <c r="H3" s="13">
        <f>F2</f>
        <v>0</v>
      </c>
      <c r="I3" s="13">
        <f>G3/(G3+C3)</f>
        <v>0.64833759590792839</v>
      </c>
      <c r="K3" s="16">
        <v>1.4E-2</v>
      </c>
    </row>
    <row r="4" spans="1:11" ht="16.5" x14ac:dyDescent="0.35">
      <c r="A4" s="10">
        <f t="shared" ref="A4:A67" si="1">A3+1</f>
        <v>3</v>
      </c>
      <c r="B4" s="1">
        <v>32.71875</v>
      </c>
      <c r="C4" s="12">
        <f t="shared" ref="C4:D4" si="2">C3</f>
        <v>0.55000000000000004</v>
      </c>
      <c r="D4" s="12">
        <f t="shared" si="2"/>
        <v>1.4E-2</v>
      </c>
      <c r="E4" s="13">
        <f t="shared" ref="E4:E67" si="3">(1-I4)*G4</f>
        <v>0.22140483790759247</v>
      </c>
      <c r="F4" s="13">
        <f t="shared" ref="F4:F67" si="4">H4+I4*(B4-H4)</f>
        <v>25.958047050623836</v>
      </c>
      <c r="G4" s="13">
        <f t="shared" ref="G4:G67" si="5">E3+D3</f>
        <v>0.37058567774936063</v>
      </c>
      <c r="H4" s="13">
        <f t="shared" ref="H4:H67" si="6">F3</f>
        <v>21.40273853324808</v>
      </c>
      <c r="I4" s="13">
        <f t="shared" ref="I4:I67" si="7">G4/(G4+C4)</f>
        <v>0.4025542507410772</v>
      </c>
      <c r="K4" s="11"/>
    </row>
    <row r="5" spans="1:11" ht="16.5" x14ac:dyDescent="0.35">
      <c r="A5" s="10">
        <f t="shared" si="1"/>
        <v>4</v>
      </c>
      <c r="B5" s="1">
        <v>32.71875</v>
      </c>
      <c r="C5" s="12">
        <f t="shared" ref="C5:D5" si="8">C4</f>
        <v>0.55000000000000004</v>
      </c>
      <c r="D5" s="12">
        <f t="shared" si="8"/>
        <v>1.4E-2</v>
      </c>
      <c r="E5" s="13">
        <f t="shared" si="3"/>
        <v>0.16484831083305485</v>
      </c>
      <c r="F5" s="13">
        <f t="shared" si="4"/>
        <v>27.984393343803312</v>
      </c>
      <c r="G5" s="13">
        <f t="shared" si="5"/>
        <v>0.23540483790759248</v>
      </c>
      <c r="H5" s="13">
        <f t="shared" si="6"/>
        <v>25.958047050623836</v>
      </c>
      <c r="I5" s="13">
        <f t="shared" si="7"/>
        <v>0.29972420151464518</v>
      </c>
      <c r="J5" s="14">
        <f>_xlfn.VAR.S(B2:B22)</f>
        <v>5.5585683593790236E-2</v>
      </c>
      <c r="K5" s="15" t="s">
        <v>32</v>
      </c>
    </row>
    <row r="6" spans="1:11" ht="16.5" x14ac:dyDescent="0.35">
      <c r="A6" s="10">
        <f t="shared" si="1"/>
        <v>5</v>
      </c>
      <c r="B6" s="1">
        <v>32.71875</v>
      </c>
      <c r="C6" s="12">
        <f t="shared" ref="C6:D6" si="9">C5</f>
        <v>0.55000000000000004</v>
      </c>
      <c r="D6" s="12">
        <f t="shared" si="9"/>
        <v>1.4E-2</v>
      </c>
      <c r="E6" s="13">
        <f t="shared" si="3"/>
        <v>0.1349616504506263</v>
      </c>
      <c r="F6" s="13">
        <f t="shared" si="4"/>
        <v>29.146132594970972</v>
      </c>
      <c r="G6" s="13">
        <f t="shared" si="5"/>
        <v>0.17884831083305486</v>
      </c>
      <c r="H6" s="13">
        <f t="shared" si="6"/>
        <v>27.984393343803312</v>
      </c>
      <c r="I6" s="13">
        <f t="shared" si="7"/>
        <v>0.2453848190011387</v>
      </c>
      <c r="J6" s="14">
        <f t="shared" ref="J6:J69" si="10">_xlfn.VAR.S(B3:B23)</f>
        <v>5.1498500976599783E-2</v>
      </c>
      <c r="K6" s="16">
        <v>0.55000000000000004</v>
      </c>
    </row>
    <row r="7" spans="1:11" ht="16.5" x14ac:dyDescent="0.35">
      <c r="A7" s="10">
        <f t="shared" si="1"/>
        <v>6</v>
      </c>
      <c r="B7" s="1">
        <v>33.011718999999999</v>
      </c>
      <c r="C7" s="12">
        <f t="shared" ref="C7:D7" si="11">C6</f>
        <v>0.55000000000000004</v>
      </c>
      <c r="D7" s="12">
        <f t="shared" si="11"/>
        <v>1.4E-2</v>
      </c>
      <c r="E7" s="13">
        <f t="shared" si="3"/>
        <v>0.11721516866486771</v>
      </c>
      <c r="F7" s="13">
        <f t="shared" si="4"/>
        <v>29.969960526705695</v>
      </c>
      <c r="G7" s="13">
        <f t="shared" si="5"/>
        <v>0.14896165045062632</v>
      </c>
      <c r="H7" s="13">
        <f t="shared" si="6"/>
        <v>29.146132594970972</v>
      </c>
      <c r="I7" s="13">
        <f t="shared" si="7"/>
        <v>0.21311848848157763</v>
      </c>
      <c r="J7" s="14">
        <f t="shared" si="10"/>
        <v>5.5585683593790215E-2</v>
      </c>
    </row>
    <row r="8" spans="1:11" ht="16.5" x14ac:dyDescent="0.35">
      <c r="A8" s="10">
        <f t="shared" si="1"/>
        <v>7</v>
      </c>
      <c r="B8" s="1">
        <v>32.425781000000001</v>
      </c>
      <c r="C8" s="12">
        <f t="shared" ref="C8:D8" si="12">C7</f>
        <v>0.55000000000000004</v>
      </c>
      <c r="D8" s="12">
        <f t="shared" si="12"/>
        <v>1.4E-2</v>
      </c>
      <c r="E8" s="13">
        <f t="shared" si="3"/>
        <v>0.10594059863217954</v>
      </c>
      <c r="F8" s="13">
        <f t="shared" si="4"/>
        <v>30.442998874112895</v>
      </c>
      <c r="G8" s="13">
        <f t="shared" si="5"/>
        <v>0.13121516866486771</v>
      </c>
      <c r="H8" s="13">
        <f t="shared" si="6"/>
        <v>29.969960526705695</v>
      </c>
      <c r="I8" s="13">
        <f t="shared" si="7"/>
        <v>0.19261927024032643</v>
      </c>
      <c r="J8" s="14">
        <f t="shared" si="10"/>
        <v>5.0681064453161687E-2</v>
      </c>
    </row>
    <row r="9" spans="1:11" ht="16.5" x14ac:dyDescent="0.35">
      <c r="A9" s="10">
        <f t="shared" si="1"/>
        <v>8</v>
      </c>
      <c r="B9" s="1">
        <v>33.011718999999999</v>
      </c>
      <c r="C9" s="12">
        <f t="shared" ref="C9:D9" si="13">C8</f>
        <v>0.55000000000000004</v>
      </c>
      <c r="D9" s="12">
        <f t="shared" si="13"/>
        <v>1.4E-2</v>
      </c>
      <c r="E9" s="13">
        <f t="shared" si="3"/>
        <v>9.8467430369773845E-2</v>
      </c>
      <c r="F9" s="13">
        <f t="shared" si="4"/>
        <v>30.902881183449669</v>
      </c>
      <c r="G9" s="13">
        <f t="shared" si="5"/>
        <v>0.11994059863217954</v>
      </c>
      <c r="H9" s="13">
        <f t="shared" si="6"/>
        <v>30.442998874112895</v>
      </c>
      <c r="I9" s="13">
        <f t="shared" si="7"/>
        <v>0.17903169158140697</v>
      </c>
      <c r="J9" s="14">
        <f t="shared" si="10"/>
        <v>6.4168767089890194E-2</v>
      </c>
    </row>
    <row r="10" spans="1:11" ht="16.5" x14ac:dyDescent="0.35">
      <c r="A10" s="10">
        <f t="shared" si="1"/>
        <v>9</v>
      </c>
      <c r="B10" s="1">
        <v>33.011718999999999</v>
      </c>
      <c r="C10" s="12">
        <f t="shared" ref="C10:D10" si="14">C9</f>
        <v>0.55000000000000004</v>
      </c>
      <c r="D10" s="12">
        <f t="shared" si="14"/>
        <v>1.4E-2</v>
      </c>
      <c r="E10" s="13">
        <f t="shared" si="3"/>
        <v>9.337377789101034E-2</v>
      </c>
      <c r="F10" s="13">
        <f t="shared" si="4"/>
        <v>31.260899645069184</v>
      </c>
      <c r="G10" s="13">
        <f t="shared" si="5"/>
        <v>0.11246743036977384</v>
      </c>
      <c r="H10" s="13">
        <f t="shared" si="6"/>
        <v>30.902881183449669</v>
      </c>
      <c r="I10" s="13">
        <f t="shared" si="7"/>
        <v>0.1697705052563824</v>
      </c>
      <c r="J10" s="14">
        <f t="shared" si="10"/>
        <v>6.2533894043014016E-2</v>
      </c>
    </row>
    <row r="11" spans="1:11" ht="16.5" x14ac:dyDescent="0.35">
      <c r="A11" s="10">
        <f t="shared" si="1"/>
        <v>10</v>
      </c>
      <c r="B11" s="1">
        <v>33.011718999999999</v>
      </c>
      <c r="C11" s="12">
        <f t="shared" ref="C11:D11" si="15">C10</f>
        <v>0.55000000000000004</v>
      </c>
      <c r="D11" s="12">
        <f t="shared" si="15"/>
        <v>1.4E-2</v>
      </c>
      <c r="E11" s="13">
        <f t="shared" si="3"/>
        <v>8.983561533214493E-2</v>
      </c>
      <c r="F11" s="13">
        <f t="shared" si="4"/>
        <v>31.546874070679436</v>
      </c>
      <c r="G11" s="13">
        <f t="shared" si="5"/>
        <v>0.10737377789101034</v>
      </c>
      <c r="H11" s="13">
        <f t="shared" si="6"/>
        <v>31.260899645069184</v>
      </c>
      <c r="I11" s="13">
        <f t="shared" si="7"/>
        <v>0.16333748242208168</v>
      </c>
      <c r="J11" s="14">
        <f t="shared" si="10"/>
        <v>6.5394921875047335E-2</v>
      </c>
    </row>
    <row r="12" spans="1:11" ht="16.5" x14ac:dyDescent="0.35">
      <c r="A12" s="10">
        <f t="shared" si="1"/>
        <v>11</v>
      </c>
      <c r="B12" s="1">
        <v>33.011718999999999</v>
      </c>
      <c r="C12" s="12">
        <f t="shared" ref="C12:D12" si="16">C11</f>
        <v>0.55000000000000004</v>
      </c>
      <c r="D12" s="12">
        <f t="shared" si="16"/>
        <v>1.4E-2</v>
      </c>
      <c r="E12" s="13">
        <f t="shared" si="3"/>
        <v>8.7345484237147816E-2</v>
      </c>
      <c r="F12" s="13">
        <f t="shared" si="4"/>
        <v>31.779506051922773</v>
      </c>
      <c r="G12" s="13">
        <f t="shared" si="5"/>
        <v>0.10383561533214493</v>
      </c>
      <c r="H12" s="13">
        <f t="shared" si="6"/>
        <v>31.546874070679436</v>
      </c>
      <c r="I12" s="13">
        <f t="shared" si="7"/>
        <v>0.15880997134026875</v>
      </c>
      <c r="J12" s="14">
        <f t="shared" si="10"/>
        <v>4.577644531253313E-2</v>
      </c>
    </row>
    <row r="13" spans="1:11" ht="16.5" x14ac:dyDescent="0.35">
      <c r="A13" s="10">
        <f t="shared" si="1"/>
        <v>12</v>
      </c>
      <c r="B13" s="1">
        <v>33.011718999999999</v>
      </c>
      <c r="C13" s="12">
        <f t="shared" ref="C13:D13" si="17">C12</f>
        <v>0.55000000000000004</v>
      </c>
      <c r="D13" s="12">
        <f t="shared" si="17"/>
        <v>1.4E-2</v>
      </c>
      <c r="E13" s="13">
        <f t="shared" si="3"/>
        <v>8.5576729522756564E-2</v>
      </c>
      <c r="F13" s="13">
        <f t="shared" si="4"/>
        <v>31.971231059508305</v>
      </c>
      <c r="G13" s="13">
        <f t="shared" si="5"/>
        <v>0.10134548423714781</v>
      </c>
      <c r="H13" s="13">
        <f t="shared" si="6"/>
        <v>31.779506051922773</v>
      </c>
      <c r="I13" s="13">
        <f t="shared" si="7"/>
        <v>0.15559405367773918</v>
      </c>
      <c r="J13" s="14">
        <f t="shared" si="10"/>
        <v>4.7002600097690271E-2</v>
      </c>
    </row>
    <row r="14" spans="1:11" ht="16.5" x14ac:dyDescent="0.35">
      <c r="A14" s="10">
        <f t="shared" si="1"/>
        <v>13</v>
      </c>
      <c r="B14" s="1">
        <v>33.011718999999999</v>
      </c>
      <c r="C14" s="12">
        <f t="shared" ref="C14:D14" si="18">C13</f>
        <v>0.55000000000000004</v>
      </c>
      <c r="D14" s="12">
        <f t="shared" si="18"/>
        <v>1.4E-2</v>
      </c>
      <c r="E14" s="13">
        <f t="shared" si="3"/>
        <v>8.4312135500533597E-2</v>
      </c>
      <c r="F14" s="13">
        <f t="shared" si="4"/>
        <v>32.13073244173632</v>
      </c>
      <c r="G14" s="13">
        <f t="shared" si="5"/>
        <v>9.9576729522756563E-2</v>
      </c>
      <c r="H14" s="13">
        <f t="shared" si="6"/>
        <v>31.971231059508305</v>
      </c>
      <c r="I14" s="13">
        <f t="shared" si="7"/>
        <v>0.15329479181915198</v>
      </c>
      <c r="J14" s="14">
        <f t="shared" si="10"/>
        <v>4.7002600097690278E-2</v>
      </c>
    </row>
    <row r="15" spans="1:11" ht="16.5" x14ac:dyDescent="0.35">
      <c r="A15" s="10">
        <f t="shared" si="1"/>
        <v>14</v>
      </c>
      <c r="B15" s="1">
        <v>33.011718999999999</v>
      </c>
      <c r="C15" s="12">
        <f t="shared" ref="C15:D15" si="19">C14</f>
        <v>0.55000000000000004</v>
      </c>
      <c r="D15" s="12">
        <f t="shared" si="19"/>
        <v>1.4E-2</v>
      </c>
      <c r="E15" s="13">
        <f t="shared" si="3"/>
        <v>8.3403767358985331E-2</v>
      </c>
      <c r="F15" s="13">
        <f t="shared" si="4"/>
        <v>32.264328074375989</v>
      </c>
      <c r="G15" s="13">
        <f t="shared" si="5"/>
        <v>9.8312135500533596E-2</v>
      </c>
      <c r="H15" s="13">
        <f t="shared" si="6"/>
        <v>32.13073244173632</v>
      </c>
      <c r="I15" s="13">
        <f t="shared" si="7"/>
        <v>0.1516432133799733</v>
      </c>
      <c r="J15" s="14">
        <f t="shared" si="10"/>
        <v>4.7002600097690271E-2</v>
      </c>
    </row>
    <row r="16" spans="1:11" ht="16.5" x14ac:dyDescent="0.35">
      <c r="A16" s="10">
        <f t="shared" si="1"/>
        <v>15</v>
      </c>
      <c r="B16" s="1">
        <v>33.304687999999999</v>
      </c>
      <c r="C16" s="12">
        <f t="shared" ref="C16:D16" si="20">C15</f>
        <v>0.55000000000000004</v>
      </c>
      <c r="D16" s="12">
        <f t="shared" si="20"/>
        <v>1.4E-2</v>
      </c>
      <c r="E16" s="13">
        <f t="shared" si="3"/>
        <v>8.2749089128695524E-2</v>
      </c>
      <c r="F16" s="13">
        <f t="shared" si="4"/>
        <v>32.420853231123964</v>
      </c>
      <c r="G16" s="13">
        <f t="shared" si="5"/>
        <v>9.740376735898533E-2</v>
      </c>
      <c r="H16" s="13">
        <f t="shared" si="6"/>
        <v>32.264328074375989</v>
      </c>
      <c r="I16" s="13">
        <f t="shared" si="7"/>
        <v>0.15045288932490092</v>
      </c>
      <c r="J16" s="14">
        <f t="shared" si="10"/>
        <v>4.7002600097690271E-2</v>
      </c>
    </row>
    <row r="17" spans="1:10" ht="16.5" x14ac:dyDescent="0.35">
      <c r="A17" s="10">
        <f t="shared" si="1"/>
        <v>16</v>
      </c>
      <c r="B17" s="1">
        <v>33.304687999999999</v>
      </c>
      <c r="C17" s="12">
        <f t="shared" ref="C17:D17" si="21">C16</f>
        <v>0.55000000000000004</v>
      </c>
      <c r="D17" s="12">
        <f t="shared" si="21"/>
        <v>1.4E-2</v>
      </c>
      <c r="E17" s="13">
        <f t="shared" si="3"/>
        <v>8.2276109723587051E-2</v>
      </c>
      <c r="F17" s="13">
        <f t="shared" si="4"/>
        <v>32.553068660981353</v>
      </c>
      <c r="G17" s="13">
        <f t="shared" si="5"/>
        <v>9.6749089128695523E-2</v>
      </c>
      <c r="H17" s="13">
        <f t="shared" si="6"/>
        <v>32.420853231123964</v>
      </c>
      <c r="I17" s="13">
        <f t="shared" si="7"/>
        <v>0.14959292677015829</v>
      </c>
      <c r="J17" s="14">
        <f t="shared" si="10"/>
        <v>4.7002600097690292E-2</v>
      </c>
    </row>
    <row r="18" spans="1:10" ht="16.5" x14ac:dyDescent="0.35">
      <c r="A18" s="10">
        <f t="shared" si="1"/>
        <v>17</v>
      </c>
      <c r="B18" s="1">
        <v>33.304687999999999</v>
      </c>
      <c r="C18" s="12">
        <f t="shared" ref="C18:D18" si="22">C17</f>
        <v>0.55000000000000004</v>
      </c>
      <c r="D18" s="12">
        <f t="shared" si="22"/>
        <v>1.4E-2</v>
      </c>
      <c r="E18" s="13">
        <f t="shared" si="3"/>
        <v>8.1933804377544509E-2</v>
      </c>
      <c r="F18" s="13">
        <f t="shared" si="4"/>
        <v>32.665037809871414</v>
      </c>
      <c r="G18" s="13">
        <f t="shared" si="5"/>
        <v>9.627610972358705E-2</v>
      </c>
      <c r="H18" s="13">
        <f t="shared" si="6"/>
        <v>32.553068660981353</v>
      </c>
      <c r="I18" s="13">
        <f t="shared" si="7"/>
        <v>0.14897055341371729</v>
      </c>
      <c r="J18" s="14">
        <f t="shared" si="10"/>
        <v>4.782003662112836E-2</v>
      </c>
    </row>
    <row r="19" spans="1:10" ht="16.5" x14ac:dyDescent="0.35">
      <c r="A19" s="10">
        <f t="shared" si="1"/>
        <v>18</v>
      </c>
      <c r="B19" s="1">
        <v>33.011718999999999</v>
      </c>
      <c r="C19" s="12">
        <f t="shared" ref="C19:D19" si="23">C18</f>
        <v>0.55000000000000004</v>
      </c>
      <c r="D19" s="12">
        <f t="shared" si="23"/>
        <v>1.4E-2</v>
      </c>
      <c r="E19" s="13">
        <f t="shared" si="3"/>
        <v>8.1685757967869838E-2</v>
      </c>
      <c r="F19" s="13">
        <f t="shared" si="4"/>
        <v>32.716526747669334</v>
      </c>
      <c r="G19" s="13">
        <f t="shared" si="5"/>
        <v>9.5933804377544507E-2</v>
      </c>
      <c r="H19" s="13">
        <f t="shared" si="6"/>
        <v>32.665037809871414</v>
      </c>
      <c r="I19" s="13">
        <f t="shared" si="7"/>
        <v>0.1485195599415815</v>
      </c>
      <c r="J19" s="14">
        <f t="shared" si="10"/>
        <v>4.782003662112836E-2</v>
      </c>
    </row>
    <row r="20" spans="1:10" ht="16.5" x14ac:dyDescent="0.35">
      <c r="A20" s="10">
        <f t="shared" si="1"/>
        <v>19</v>
      </c>
      <c r="B20" s="1">
        <v>33.011718999999999</v>
      </c>
      <c r="C20" s="12">
        <f t="shared" ref="C20:D20" si="24">C19</f>
        <v>0.55000000000000004</v>
      </c>
      <c r="D20" s="12">
        <f t="shared" si="24"/>
        <v>1.4E-2</v>
      </c>
      <c r="E20" s="13">
        <f t="shared" si="3"/>
        <v>8.150585053627156E-2</v>
      </c>
      <c r="F20" s="13">
        <f t="shared" si="4"/>
        <v>32.760272012392839</v>
      </c>
      <c r="G20" s="13">
        <f t="shared" si="5"/>
        <v>9.5685757967869836E-2</v>
      </c>
      <c r="H20" s="13">
        <f t="shared" si="6"/>
        <v>32.716526747669334</v>
      </c>
      <c r="I20" s="13">
        <f t="shared" si="7"/>
        <v>0.14819245552049373</v>
      </c>
      <c r="J20" s="14">
        <f t="shared" si="10"/>
        <v>5.6811793736099861E-2</v>
      </c>
    </row>
    <row r="21" spans="1:10" ht="16.5" x14ac:dyDescent="0.35">
      <c r="A21" s="10">
        <f t="shared" si="1"/>
        <v>20</v>
      </c>
      <c r="B21" s="1">
        <v>33.304687999999999</v>
      </c>
      <c r="C21" s="12">
        <f t="shared" ref="C21:D21" si="25">C20</f>
        <v>0.55000000000000004</v>
      </c>
      <c r="D21" s="12">
        <f t="shared" si="25"/>
        <v>1.4E-2</v>
      </c>
      <c r="E21" s="13">
        <f t="shared" si="3"/>
        <v>8.1375277623448511E-2</v>
      </c>
      <c r="F21" s="13">
        <f t="shared" si="4"/>
        <v>32.840821107182251</v>
      </c>
      <c r="G21" s="13">
        <f t="shared" si="5"/>
        <v>9.5505850536271558E-2</v>
      </c>
      <c r="H21" s="13">
        <f t="shared" si="6"/>
        <v>32.760272012392839</v>
      </c>
      <c r="I21" s="13">
        <f t="shared" si="7"/>
        <v>0.14795505022445182</v>
      </c>
      <c r="J21" s="14">
        <f t="shared" si="10"/>
        <v>5.640307407929035E-2</v>
      </c>
    </row>
    <row r="22" spans="1:10" ht="16.5" x14ac:dyDescent="0.35">
      <c r="A22" s="10">
        <f t="shared" si="1"/>
        <v>21</v>
      </c>
      <c r="B22" s="1">
        <v>33.304687999999999</v>
      </c>
      <c r="C22" s="12">
        <f t="shared" ref="C22:D22" si="26">C21</f>
        <v>0.55000000000000004</v>
      </c>
      <c r="D22" s="12">
        <f t="shared" si="26"/>
        <v>1.4E-2</v>
      </c>
      <c r="E22" s="13">
        <f t="shared" si="3"/>
        <v>8.1280465043631497E-2</v>
      </c>
      <c r="F22" s="13">
        <f t="shared" si="4"/>
        <v>32.909372592212378</v>
      </c>
      <c r="G22" s="13">
        <f t="shared" si="5"/>
        <v>9.5375277623448509E-2</v>
      </c>
      <c r="H22" s="13">
        <f t="shared" si="6"/>
        <v>32.840821107182251</v>
      </c>
      <c r="I22" s="13">
        <f t="shared" si="7"/>
        <v>0.14778266371569362</v>
      </c>
      <c r="J22" s="14">
        <f t="shared" si="10"/>
        <v>6.5394832589347557E-2</v>
      </c>
    </row>
    <row r="23" spans="1:10" ht="16.5" x14ac:dyDescent="0.35">
      <c r="A23" s="10">
        <f t="shared" si="1"/>
        <v>22</v>
      </c>
      <c r="B23" s="1">
        <v>33.011718999999999</v>
      </c>
      <c r="C23" s="12">
        <f t="shared" ref="C23:D23" si="27">C22</f>
        <v>0.55000000000000004</v>
      </c>
      <c r="D23" s="12">
        <f t="shared" si="27"/>
        <v>1.4E-2</v>
      </c>
      <c r="E23" s="13">
        <f t="shared" si="3"/>
        <v>8.1211594977470672E-2</v>
      </c>
      <c r="F23" s="13">
        <f t="shared" si="4"/>
        <v>32.924484801333556</v>
      </c>
      <c r="G23" s="13">
        <f t="shared" si="5"/>
        <v>9.5280465043631496E-2</v>
      </c>
      <c r="H23" s="13">
        <f t="shared" si="6"/>
        <v>32.909372592212378</v>
      </c>
      <c r="I23" s="13">
        <f t="shared" si="7"/>
        <v>0.14765744541358303</v>
      </c>
      <c r="J23" s="14">
        <f t="shared" si="10"/>
        <v>6.5394835379528518E-2</v>
      </c>
    </row>
    <row r="24" spans="1:10" ht="16.5" x14ac:dyDescent="0.35">
      <c r="A24" s="10">
        <f t="shared" si="1"/>
        <v>23</v>
      </c>
      <c r="B24" s="1">
        <v>33.304687999999999</v>
      </c>
      <c r="C24" s="12">
        <f t="shared" ref="C24:D24" si="28">C23</f>
        <v>0.55000000000000004</v>
      </c>
      <c r="D24" s="12">
        <f t="shared" si="28"/>
        <v>1.4E-2</v>
      </c>
      <c r="E24" s="13">
        <f t="shared" si="3"/>
        <v>8.1161556371964122E-2</v>
      </c>
      <c r="F24" s="13">
        <f t="shared" si="4"/>
        <v>32.980590043772409</v>
      </c>
      <c r="G24" s="13">
        <f t="shared" si="5"/>
        <v>9.521159497747067E-2</v>
      </c>
      <c r="H24" s="13">
        <f t="shared" si="6"/>
        <v>32.924484801333556</v>
      </c>
      <c r="I24" s="13">
        <f t="shared" si="7"/>
        <v>0.14756646613084384</v>
      </c>
      <c r="J24" s="14">
        <f t="shared" si="10"/>
        <v>6.4986119907990414E-2</v>
      </c>
    </row>
    <row r="25" spans="1:10" ht="16.5" x14ac:dyDescent="0.35">
      <c r="A25" s="10">
        <f t="shared" si="1"/>
        <v>24</v>
      </c>
      <c r="B25" s="1">
        <v>33.011718999999999</v>
      </c>
      <c r="C25" s="12">
        <f t="shared" ref="C25:D25" si="29">C24</f>
        <v>0.55000000000000004</v>
      </c>
      <c r="D25" s="12">
        <f t="shared" si="29"/>
        <v>1.4E-2</v>
      </c>
      <c r="E25" s="13">
        <f t="shared" si="3"/>
        <v>8.1125193352972524E-2</v>
      </c>
      <c r="F25" s="13">
        <f t="shared" si="4"/>
        <v>32.985181575759391</v>
      </c>
      <c r="G25" s="13">
        <f t="shared" si="5"/>
        <v>9.5161556371964121E-2</v>
      </c>
      <c r="H25" s="13">
        <f t="shared" si="6"/>
        <v>32.980590043772409</v>
      </c>
      <c r="I25" s="13">
        <f t="shared" si="7"/>
        <v>0.14750035155085911</v>
      </c>
      <c r="J25" s="14">
        <f t="shared" si="10"/>
        <v>6.49861199079904E-2</v>
      </c>
    </row>
    <row r="26" spans="1:10" ht="16.5" x14ac:dyDescent="0.35">
      <c r="A26" s="10">
        <f t="shared" si="1"/>
        <v>25</v>
      </c>
      <c r="B26" s="1">
        <v>32.425781000000001</v>
      </c>
      <c r="C26" s="12">
        <f t="shared" ref="C26:D26" si="30">C25</f>
        <v>0.55000000000000004</v>
      </c>
      <c r="D26" s="12">
        <f t="shared" si="30"/>
        <v>1.4E-2</v>
      </c>
      <c r="E26" s="13">
        <f t="shared" si="3"/>
        <v>8.1098764833865744E-2</v>
      </c>
      <c r="F26" s="13">
        <f t="shared" si="4"/>
        <v>32.902696674411317</v>
      </c>
      <c r="G26" s="13">
        <f t="shared" si="5"/>
        <v>9.5125193352972523E-2</v>
      </c>
      <c r="H26" s="13">
        <f t="shared" si="6"/>
        <v>32.985181575759391</v>
      </c>
      <c r="I26" s="13">
        <f t="shared" si="7"/>
        <v>0.14745229969793772</v>
      </c>
      <c r="J26" s="14">
        <f t="shared" si="10"/>
        <v>6.49861199079904E-2</v>
      </c>
    </row>
    <row r="27" spans="1:10" ht="16.5" x14ac:dyDescent="0.35">
      <c r="A27" s="10">
        <f t="shared" si="1"/>
        <v>26</v>
      </c>
      <c r="B27" s="1">
        <v>33.304687999999999</v>
      </c>
      <c r="C27" s="12">
        <f t="shared" ref="C27:D27" si="31">C26</f>
        <v>0.55000000000000004</v>
      </c>
      <c r="D27" s="12">
        <f t="shared" si="31"/>
        <v>1.4E-2</v>
      </c>
      <c r="E27" s="13">
        <f t="shared" si="3"/>
        <v>8.1079554805993534E-2</v>
      </c>
      <c r="F27" s="13">
        <f t="shared" si="4"/>
        <v>32.961957179346953</v>
      </c>
      <c r="G27" s="13">
        <f t="shared" si="5"/>
        <v>9.5098764833865743E-2</v>
      </c>
      <c r="H27" s="13">
        <f t="shared" si="6"/>
        <v>32.902696674411317</v>
      </c>
      <c r="I27" s="13">
        <f t="shared" si="7"/>
        <v>0.14741737237453373</v>
      </c>
      <c r="J27" s="14">
        <f t="shared" si="10"/>
        <v>6.4986119907990428E-2</v>
      </c>
    </row>
    <row r="28" spans="1:10" ht="16.5" x14ac:dyDescent="0.35">
      <c r="A28" s="10">
        <f t="shared" si="1"/>
        <v>27</v>
      </c>
      <c r="B28" s="1">
        <v>33.304687999999999</v>
      </c>
      <c r="C28" s="12">
        <f t="shared" ref="C28:D28" si="32">C27</f>
        <v>0.55000000000000004</v>
      </c>
      <c r="D28" s="12">
        <f t="shared" si="32"/>
        <v>1.4E-2</v>
      </c>
      <c r="E28" s="13">
        <f t="shared" si="3"/>
        <v>8.1065590675903063E-2</v>
      </c>
      <c r="F28" s="13">
        <f t="shared" si="4"/>
        <v>33.012472954654363</v>
      </c>
      <c r="G28" s="13">
        <f t="shared" si="5"/>
        <v>9.5079554805993532E-2</v>
      </c>
      <c r="H28" s="13">
        <f t="shared" si="6"/>
        <v>32.961957179346953</v>
      </c>
      <c r="I28" s="13">
        <f t="shared" si="7"/>
        <v>0.14739198304709647</v>
      </c>
      <c r="J28" s="14">
        <f t="shared" si="10"/>
        <v>6.5394835379528518E-2</v>
      </c>
    </row>
    <row r="29" spans="1:10" ht="16.5" x14ac:dyDescent="0.35">
      <c r="A29" s="10">
        <f t="shared" si="1"/>
        <v>28</v>
      </c>
      <c r="B29" s="1">
        <v>33.304687999999999</v>
      </c>
      <c r="C29" s="12">
        <f t="shared" ref="C29:D29" si="33">C28</f>
        <v>0.55000000000000004</v>
      </c>
      <c r="D29" s="12">
        <f t="shared" si="33"/>
        <v>1.4E-2</v>
      </c>
      <c r="E29" s="13">
        <f t="shared" si="3"/>
        <v>8.1055439365415635E-2</v>
      </c>
      <c r="F29" s="13">
        <f t="shared" si="4"/>
        <v>33.055537716271957</v>
      </c>
      <c r="G29" s="13">
        <f t="shared" si="5"/>
        <v>9.5065590675903061E-2</v>
      </c>
      <c r="H29" s="13">
        <f t="shared" si="6"/>
        <v>33.012472954654363</v>
      </c>
      <c r="I29" s="13">
        <f t="shared" si="7"/>
        <v>0.14737352611893753</v>
      </c>
      <c r="J29" s="14">
        <f t="shared" si="10"/>
        <v>6.5394835379528518E-2</v>
      </c>
    </row>
    <row r="30" spans="1:10" ht="16.5" x14ac:dyDescent="0.35">
      <c r="A30" s="10">
        <f t="shared" si="1"/>
        <v>29</v>
      </c>
      <c r="B30" s="1">
        <v>33.304687999999999</v>
      </c>
      <c r="C30" s="12">
        <f t="shared" ref="C30:D30" si="34">C29</f>
        <v>0.55000000000000004</v>
      </c>
      <c r="D30" s="12">
        <f t="shared" si="34"/>
        <v>1.4E-2</v>
      </c>
      <c r="E30" s="13">
        <f t="shared" si="3"/>
        <v>8.1048059531767427E-2</v>
      </c>
      <c r="F30" s="13">
        <f t="shared" si="4"/>
        <v>33.092252529050043</v>
      </c>
      <c r="G30" s="13">
        <f t="shared" si="5"/>
        <v>9.5055439365415634E-2</v>
      </c>
      <c r="H30" s="13">
        <f t="shared" si="6"/>
        <v>33.055537716271957</v>
      </c>
      <c r="I30" s="13">
        <f t="shared" si="7"/>
        <v>0.14736010823957713</v>
      </c>
      <c r="J30" s="14">
        <f t="shared" si="10"/>
        <v>4.4141459263457229E-2</v>
      </c>
    </row>
    <row r="31" spans="1:10" ht="16.5" x14ac:dyDescent="0.35">
      <c r="A31" s="10">
        <f t="shared" si="1"/>
        <v>30</v>
      </c>
      <c r="B31" s="1">
        <v>33.011718999999999</v>
      </c>
      <c r="C31" s="12">
        <f t="shared" ref="C31:D31" si="35">C30</f>
        <v>0.55000000000000004</v>
      </c>
      <c r="D31" s="12">
        <f t="shared" si="35"/>
        <v>1.4E-2</v>
      </c>
      <c r="E31" s="13">
        <f t="shared" si="3"/>
        <v>8.104269436981007E-2</v>
      </c>
      <c r="F31" s="13">
        <f t="shared" si="4"/>
        <v>33.080385885083999</v>
      </c>
      <c r="G31" s="13">
        <f t="shared" si="5"/>
        <v>9.5048059531767426E-2</v>
      </c>
      <c r="H31" s="13">
        <f t="shared" si="6"/>
        <v>33.092252529050043</v>
      </c>
      <c r="I31" s="13">
        <f t="shared" si="7"/>
        <v>0.14735035339965469</v>
      </c>
      <c r="J31" s="14">
        <f t="shared" si="10"/>
        <v>4.4141459263457236E-2</v>
      </c>
    </row>
    <row r="32" spans="1:10" ht="16.5" x14ac:dyDescent="0.35">
      <c r="A32" s="10">
        <f t="shared" si="1"/>
        <v>31</v>
      </c>
      <c r="B32" s="1">
        <v>33.011718999999999</v>
      </c>
      <c r="C32" s="12">
        <f t="shared" ref="C32:D32" si="36">C31</f>
        <v>0.55000000000000004</v>
      </c>
      <c r="D32" s="12">
        <f t="shared" si="36"/>
        <v>1.4E-2</v>
      </c>
      <c r="E32" s="13">
        <f t="shared" si="3"/>
        <v>8.1038793803354936E-2</v>
      </c>
      <c r="F32" s="13">
        <f t="shared" si="4"/>
        <v>33.070268282281376</v>
      </c>
      <c r="G32" s="13">
        <f t="shared" si="5"/>
        <v>9.5042694369810068E-2</v>
      </c>
      <c r="H32" s="13">
        <f t="shared" si="6"/>
        <v>33.080385885083999</v>
      </c>
      <c r="I32" s="13">
        <f t="shared" si="7"/>
        <v>0.14734326146064533</v>
      </c>
      <c r="J32" s="14">
        <f t="shared" si="10"/>
        <v>4.4141459263457229E-2</v>
      </c>
    </row>
    <row r="33" spans="1:10" ht="16.5" x14ac:dyDescent="0.35">
      <c r="A33" s="10">
        <f t="shared" si="1"/>
        <v>32</v>
      </c>
      <c r="B33" s="1">
        <v>33.011718999999999</v>
      </c>
      <c r="C33" s="12">
        <f t="shared" ref="C33:D33" si="37">C32</f>
        <v>0.55000000000000004</v>
      </c>
      <c r="D33" s="12">
        <f t="shared" si="37"/>
        <v>1.4E-2</v>
      </c>
      <c r="E33" s="13">
        <f t="shared" si="3"/>
        <v>8.1035957982676821E-2</v>
      </c>
      <c r="F33" s="13">
        <f t="shared" si="4"/>
        <v>33.061641741956159</v>
      </c>
      <c r="G33" s="13">
        <f t="shared" si="5"/>
        <v>9.5038793803354935E-2</v>
      </c>
      <c r="H33" s="13">
        <f t="shared" si="6"/>
        <v>33.070268282281376</v>
      </c>
      <c r="I33" s="13">
        <f t="shared" si="7"/>
        <v>0.14733810542304879</v>
      </c>
      <c r="J33" s="14">
        <f t="shared" si="10"/>
        <v>4.4141459263457236E-2</v>
      </c>
    </row>
    <row r="34" spans="1:10" ht="16.5" x14ac:dyDescent="0.35">
      <c r="A34" s="10">
        <f t="shared" si="1"/>
        <v>33</v>
      </c>
      <c r="B34" s="1">
        <v>33.011718999999999</v>
      </c>
      <c r="C34" s="12">
        <f t="shared" ref="C34:D34" si="38">C33</f>
        <v>0.55000000000000004</v>
      </c>
      <c r="D34" s="12">
        <f t="shared" si="38"/>
        <v>1.4E-2</v>
      </c>
      <c r="E34" s="13">
        <f t="shared" si="3"/>
        <v>8.1033896240364348E-2</v>
      </c>
      <c r="F34" s="13">
        <f t="shared" si="4"/>
        <v>33.054286406880323</v>
      </c>
      <c r="G34" s="13">
        <f t="shared" si="5"/>
        <v>9.5035957982676819E-2</v>
      </c>
      <c r="H34" s="13">
        <f t="shared" si="6"/>
        <v>33.061641741956159</v>
      </c>
      <c r="I34" s="13">
        <f t="shared" si="7"/>
        <v>0.14733435680066242</v>
      </c>
      <c r="J34" s="14">
        <f t="shared" si="10"/>
        <v>5.0680919363914431E-2</v>
      </c>
    </row>
    <row r="35" spans="1:10" ht="16.5" x14ac:dyDescent="0.35">
      <c r="A35" s="10">
        <f t="shared" si="1"/>
        <v>34</v>
      </c>
      <c r="B35" s="1">
        <v>33.304687999999999</v>
      </c>
      <c r="C35" s="12">
        <f t="shared" ref="C35:D35" si="39">C34</f>
        <v>0.55000000000000004</v>
      </c>
      <c r="D35" s="12">
        <f t="shared" si="39"/>
        <v>1.4E-2</v>
      </c>
      <c r="E35" s="13">
        <f t="shared" si="3"/>
        <v>8.1032397269124423E-2</v>
      </c>
      <c r="F35" s="13">
        <f t="shared" si="4"/>
        <v>33.091178482099401</v>
      </c>
      <c r="G35" s="13">
        <f t="shared" si="5"/>
        <v>9.5033896240364346E-2</v>
      </c>
      <c r="H35" s="13">
        <f t="shared" si="6"/>
        <v>33.054286406880323</v>
      </c>
      <c r="I35" s="13">
        <f t="shared" si="7"/>
        <v>0.14733163139840805</v>
      </c>
      <c r="J35" s="14">
        <f t="shared" si="10"/>
        <v>4.8228615373962044E-2</v>
      </c>
    </row>
    <row r="36" spans="1:10" ht="16.5" x14ac:dyDescent="0.35">
      <c r="A36" s="10">
        <f t="shared" si="1"/>
        <v>35</v>
      </c>
      <c r="B36" s="1">
        <v>33.011718999999999</v>
      </c>
      <c r="C36" s="12">
        <f t="shared" ref="C36:D36" si="40">C35</f>
        <v>0.55000000000000004</v>
      </c>
      <c r="D36" s="12">
        <f t="shared" si="40"/>
        <v>1.4E-2</v>
      </c>
      <c r="E36" s="13">
        <f t="shared" si="3"/>
        <v>8.1031307449524789E-2</v>
      </c>
      <c r="F36" s="13">
        <f t="shared" si="4"/>
        <v>33.079471744419806</v>
      </c>
      <c r="G36" s="13">
        <f t="shared" si="5"/>
        <v>9.5032397269124422E-2</v>
      </c>
      <c r="H36" s="13">
        <f t="shared" si="6"/>
        <v>33.091178482099401</v>
      </c>
      <c r="I36" s="13">
        <f t="shared" si="7"/>
        <v>0.14732964990822689</v>
      </c>
      <c r="J36" s="14">
        <f t="shared" si="10"/>
        <v>4.5367593122290634E-2</v>
      </c>
    </row>
    <row r="37" spans="1:10" ht="16.5" x14ac:dyDescent="0.35">
      <c r="A37" s="10">
        <f t="shared" si="1"/>
        <v>36</v>
      </c>
      <c r="B37" s="1">
        <v>33.597656000000001</v>
      </c>
      <c r="C37" s="12">
        <f t="shared" ref="C37:D37" si="41">C36</f>
        <v>0.55000000000000004</v>
      </c>
      <c r="D37" s="12">
        <f t="shared" si="41"/>
        <v>1.4E-2</v>
      </c>
      <c r="E37" s="13">
        <f t="shared" si="3"/>
        <v>8.1030515098414302E-2</v>
      </c>
      <c r="F37" s="13">
        <f t="shared" si="4"/>
        <v>33.155814902866261</v>
      </c>
      <c r="G37" s="13">
        <f t="shared" si="5"/>
        <v>9.5031307449524788E-2</v>
      </c>
      <c r="H37" s="13">
        <f t="shared" si="6"/>
        <v>33.079471744419806</v>
      </c>
      <c r="I37" s="13">
        <f t="shared" si="7"/>
        <v>0.14732820926984416</v>
      </c>
      <c r="J37" s="14">
        <f t="shared" si="10"/>
        <v>4.7002446637928755E-2</v>
      </c>
    </row>
    <row r="38" spans="1:10" ht="16.5" x14ac:dyDescent="0.35">
      <c r="A38" s="10">
        <f t="shared" si="1"/>
        <v>37</v>
      </c>
      <c r="B38" s="1">
        <v>33.011718999999999</v>
      </c>
      <c r="C38" s="12">
        <f t="shared" ref="C38:D38" si="42">C37</f>
        <v>0.55000000000000004</v>
      </c>
      <c r="D38" s="12">
        <f t="shared" si="42"/>
        <v>1.4E-2</v>
      </c>
      <c r="E38" s="13">
        <f t="shared" si="3"/>
        <v>8.1029939019479344E-2</v>
      </c>
      <c r="F38" s="13">
        <f t="shared" si="4"/>
        <v>33.134585662462243</v>
      </c>
      <c r="G38" s="13">
        <f t="shared" si="5"/>
        <v>9.50305150984143E-2</v>
      </c>
      <c r="H38" s="13">
        <f t="shared" si="6"/>
        <v>33.155814902866261</v>
      </c>
      <c r="I38" s="13">
        <f t="shared" si="7"/>
        <v>0.14732716185359881</v>
      </c>
      <c r="J38" s="14">
        <f t="shared" si="10"/>
        <v>4.2915270996190677E-2</v>
      </c>
    </row>
    <row r="39" spans="1:10" ht="16.5" x14ac:dyDescent="0.35">
      <c r="A39" s="10">
        <f t="shared" si="1"/>
        <v>38</v>
      </c>
      <c r="B39" s="1">
        <v>33.597656000000001</v>
      </c>
      <c r="C39" s="12">
        <f t="shared" ref="C39:D39" si="43">C38</f>
        <v>0.55000000000000004</v>
      </c>
      <c r="D39" s="12">
        <f t="shared" si="43"/>
        <v>1.4E-2</v>
      </c>
      <c r="E39" s="13">
        <f t="shared" si="3"/>
        <v>8.1029520180357445E-2</v>
      </c>
      <c r="F39" s="13">
        <f t="shared" si="4"/>
        <v>33.202808148390318</v>
      </c>
      <c r="G39" s="13">
        <f t="shared" si="5"/>
        <v>9.5029939019479343E-2</v>
      </c>
      <c r="H39" s="13">
        <f t="shared" si="6"/>
        <v>33.134585662462243</v>
      </c>
      <c r="I39" s="13">
        <f t="shared" si="7"/>
        <v>0.14732640032792263</v>
      </c>
      <c r="J39" s="14">
        <f t="shared" si="10"/>
        <v>4.7002446637928762E-2</v>
      </c>
    </row>
    <row r="40" spans="1:10" ht="16.5" x14ac:dyDescent="0.35">
      <c r="A40" s="10">
        <f t="shared" si="1"/>
        <v>39</v>
      </c>
      <c r="B40" s="1">
        <v>33.304687999999999</v>
      </c>
      <c r="C40" s="12">
        <f t="shared" ref="C40:D40" si="44">C39</f>
        <v>0.55000000000000004</v>
      </c>
      <c r="D40" s="12">
        <f t="shared" si="44"/>
        <v>1.4E-2</v>
      </c>
      <c r="E40" s="13">
        <f t="shared" si="3"/>
        <v>8.10292156622264E-2</v>
      </c>
      <c r="F40" s="13">
        <f t="shared" si="4"/>
        <v>33.217817683786166</v>
      </c>
      <c r="G40" s="13">
        <f t="shared" si="5"/>
        <v>9.5029520180357444E-2</v>
      </c>
      <c r="H40" s="13">
        <f t="shared" si="6"/>
        <v>33.202808148390318</v>
      </c>
      <c r="I40" s="13">
        <f t="shared" si="7"/>
        <v>0.14732584665859341</v>
      </c>
      <c r="J40" s="14">
        <f t="shared" si="10"/>
        <v>4.7002432687047832E-2</v>
      </c>
    </row>
    <row r="41" spans="1:10" ht="16.5" x14ac:dyDescent="0.35">
      <c r="A41" s="10">
        <f t="shared" si="1"/>
        <v>40</v>
      </c>
      <c r="B41" s="1">
        <v>33.304687999999999</v>
      </c>
      <c r="C41" s="12">
        <f t="shared" ref="C41:D41" si="45">C40</f>
        <v>0.55000000000000004</v>
      </c>
      <c r="D41" s="12">
        <f t="shared" si="45"/>
        <v>1.4E-2</v>
      </c>
      <c r="E41" s="13">
        <f t="shared" si="3"/>
        <v>8.102899426123665E-2</v>
      </c>
      <c r="F41" s="13">
        <f t="shared" si="4"/>
        <v>33.230615891702463</v>
      </c>
      <c r="G41" s="13">
        <f t="shared" si="5"/>
        <v>9.5029215662226399E-2</v>
      </c>
      <c r="H41" s="13">
        <f t="shared" si="6"/>
        <v>33.217817683786166</v>
      </c>
      <c r="I41" s="13">
        <f t="shared" si="7"/>
        <v>0.14732544411133935</v>
      </c>
      <c r="J41" s="14">
        <f t="shared" si="10"/>
        <v>4.2915270996190677E-2</v>
      </c>
    </row>
    <row r="42" spans="1:10" ht="16.5" x14ac:dyDescent="0.35">
      <c r="A42" s="10">
        <f t="shared" si="1"/>
        <v>41</v>
      </c>
      <c r="B42" s="1">
        <v>33.304687999999999</v>
      </c>
      <c r="C42" s="12">
        <f t="shared" ref="C42:D42" si="46">C41</f>
        <v>0.55000000000000004</v>
      </c>
      <c r="D42" s="12">
        <f t="shared" si="46"/>
        <v>1.4E-2</v>
      </c>
      <c r="E42" s="13">
        <f t="shared" si="3"/>
        <v>8.1028833290728727E-2</v>
      </c>
      <c r="F42" s="13">
        <f t="shared" si="4"/>
        <v>33.241528576274703</v>
      </c>
      <c r="G42" s="13">
        <f t="shared" si="5"/>
        <v>9.5028994261236649E-2</v>
      </c>
      <c r="H42" s="13">
        <f t="shared" si="6"/>
        <v>33.230615891702463</v>
      </c>
      <c r="I42" s="13">
        <f t="shared" si="7"/>
        <v>0.14732515143768857</v>
      </c>
      <c r="J42" s="14">
        <f t="shared" si="10"/>
        <v>4.2097821916962132E-2</v>
      </c>
    </row>
    <row r="43" spans="1:10" ht="16.5" x14ac:dyDescent="0.35">
      <c r="A43" s="10">
        <f t="shared" si="1"/>
        <v>42</v>
      </c>
      <c r="B43" s="1">
        <v>33.304687999999999</v>
      </c>
      <c r="C43" s="12">
        <f t="shared" ref="C43:D43" si="47">C42</f>
        <v>0.55000000000000004</v>
      </c>
      <c r="D43" s="12">
        <f t="shared" si="47"/>
        <v>1.4E-2</v>
      </c>
      <c r="E43" s="13">
        <f t="shared" si="3"/>
        <v>8.1028716256383887E-2</v>
      </c>
      <c r="F43" s="13">
        <f t="shared" si="4"/>
        <v>33.250833534500075</v>
      </c>
      <c r="G43" s="13">
        <f t="shared" si="5"/>
        <v>9.5028833290728726E-2</v>
      </c>
      <c r="H43" s="13">
        <f t="shared" si="6"/>
        <v>33.241528576274703</v>
      </c>
      <c r="I43" s="13">
        <f t="shared" si="7"/>
        <v>0.14732493864797067</v>
      </c>
      <c r="J43" s="14">
        <f t="shared" si="10"/>
        <v>4.291527099619067E-2</v>
      </c>
    </row>
    <row r="44" spans="1:10" ht="16.5" x14ac:dyDescent="0.35">
      <c r="A44" s="10">
        <f t="shared" si="1"/>
        <v>43</v>
      </c>
      <c r="B44" s="1">
        <v>33.011718999999999</v>
      </c>
      <c r="C44" s="12">
        <f t="shared" ref="C44:D44" si="48">C43</f>
        <v>0.55000000000000004</v>
      </c>
      <c r="D44" s="12">
        <f t="shared" si="48"/>
        <v>1.4E-2</v>
      </c>
      <c r="E44" s="13">
        <f t="shared" si="3"/>
        <v>8.1028631165990919E-2</v>
      </c>
      <c r="F44" s="13">
        <f t="shared" si="4"/>
        <v>33.215606037368374</v>
      </c>
      <c r="G44" s="13">
        <f t="shared" si="5"/>
        <v>9.5028716256383886E-2</v>
      </c>
      <c r="H44" s="13">
        <f t="shared" si="6"/>
        <v>33.250833534500075</v>
      </c>
      <c r="I44" s="13">
        <f t="shared" si="7"/>
        <v>0.14732478393816528</v>
      </c>
      <c r="J44" s="14">
        <f t="shared" si="10"/>
        <v>4.7002446637928755E-2</v>
      </c>
    </row>
    <row r="45" spans="1:10" ht="16.5" x14ac:dyDescent="0.35">
      <c r="A45" s="10">
        <f t="shared" si="1"/>
        <v>44</v>
      </c>
      <c r="B45" s="1">
        <v>33.011718999999999</v>
      </c>
      <c r="C45" s="12">
        <f t="shared" ref="C45:D45" si="49">C44</f>
        <v>0.55000000000000004</v>
      </c>
      <c r="D45" s="12">
        <f t="shared" si="49"/>
        <v>1.4E-2</v>
      </c>
      <c r="E45" s="13">
        <f t="shared" si="3"/>
        <v>8.1028569300585052E-2</v>
      </c>
      <c r="F45" s="13">
        <f t="shared" si="4"/>
        <v>33.185568446574024</v>
      </c>
      <c r="G45" s="13">
        <f t="shared" si="5"/>
        <v>9.5028631165990918E-2</v>
      </c>
      <c r="H45" s="13">
        <f t="shared" si="6"/>
        <v>33.215606037368374</v>
      </c>
      <c r="I45" s="13">
        <f t="shared" si="7"/>
        <v>0.14732467145560915</v>
      </c>
      <c r="J45" s="14">
        <f t="shared" si="10"/>
        <v>5.1498325195414509E-2</v>
      </c>
    </row>
    <row r="46" spans="1:10" ht="16.5" x14ac:dyDescent="0.35">
      <c r="A46" s="10">
        <f t="shared" si="1"/>
        <v>45</v>
      </c>
      <c r="B46" s="1">
        <v>33.011718999999999</v>
      </c>
      <c r="C46" s="12">
        <f t="shared" ref="C46:D46" si="50">C45</f>
        <v>0.55000000000000004</v>
      </c>
      <c r="D46" s="12">
        <f t="shared" si="50"/>
        <v>1.4E-2</v>
      </c>
      <c r="E46" s="13">
        <f t="shared" si="3"/>
        <v>8.1028524321014705E-2</v>
      </c>
      <c r="F46" s="13">
        <f t="shared" si="4"/>
        <v>33.159956148192357</v>
      </c>
      <c r="G46" s="13">
        <f t="shared" si="5"/>
        <v>9.502856930058505E-2</v>
      </c>
      <c r="H46" s="13">
        <f t="shared" si="6"/>
        <v>33.185568446574024</v>
      </c>
      <c r="I46" s="13">
        <f t="shared" si="7"/>
        <v>0.14732458967457221</v>
      </c>
      <c r="J46" s="14">
        <f t="shared" si="10"/>
        <v>5.5585499442062133E-2</v>
      </c>
    </row>
    <row r="47" spans="1:10" ht="16.5" x14ac:dyDescent="0.35">
      <c r="A47" s="10">
        <f t="shared" si="1"/>
        <v>46</v>
      </c>
      <c r="B47" s="1">
        <v>33.597656000000001</v>
      </c>
      <c r="C47" s="12">
        <f t="shared" ref="C47:D47" si="51">C46</f>
        <v>0.55000000000000004</v>
      </c>
      <c r="D47" s="12">
        <f t="shared" si="51"/>
        <v>1.4E-2</v>
      </c>
      <c r="E47" s="13">
        <f t="shared" si="3"/>
        <v>8.1028491618374929E-2</v>
      </c>
      <c r="F47" s="13">
        <f t="shared" si="4"/>
        <v>33.224440073235193</v>
      </c>
      <c r="G47" s="13">
        <f t="shared" si="5"/>
        <v>9.5028524321014704E-2</v>
      </c>
      <c r="H47" s="13">
        <f t="shared" si="6"/>
        <v>33.159956148192357</v>
      </c>
      <c r="I47" s="13">
        <f t="shared" si="7"/>
        <v>0.14732453021522712</v>
      </c>
      <c r="J47" s="14">
        <f t="shared" si="10"/>
        <v>5.5585499442062133E-2</v>
      </c>
    </row>
    <row r="48" spans="1:10" ht="16.5" x14ac:dyDescent="0.35">
      <c r="A48" s="10">
        <f t="shared" si="1"/>
        <v>47</v>
      </c>
      <c r="B48" s="1">
        <v>33.304687999999999</v>
      </c>
      <c r="C48" s="12">
        <f t="shared" ref="C48:D48" si="52">C47</f>
        <v>0.55000000000000004</v>
      </c>
      <c r="D48" s="12">
        <f t="shared" si="52"/>
        <v>1.4E-2</v>
      </c>
      <c r="E48" s="13">
        <f t="shared" si="3"/>
        <v>8.1028467841741017E-2</v>
      </c>
      <c r="F48" s="13">
        <f t="shared" si="4"/>
        <v>33.236262557877424</v>
      </c>
      <c r="G48" s="13">
        <f t="shared" si="5"/>
        <v>9.5028491618374927E-2</v>
      </c>
      <c r="H48" s="13">
        <f t="shared" si="6"/>
        <v>33.224440073235193</v>
      </c>
      <c r="I48" s="13">
        <f t="shared" si="7"/>
        <v>0.14732448698498368</v>
      </c>
      <c r="J48" s="14">
        <f t="shared" si="10"/>
        <v>5.1498325195414515E-2</v>
      </c>
    </row>
    <row r="49" spans="1:10" ht="16.5" x14ac:dyDescent="0.35">
      <c r="A49" s="10">
        <f t="shared" si="1"/>
        <v>48</v>
      </c>
      <c r="B49" s="1">
        <v>33.304687999999999</v>
      </c>
      <c r="C49" s="12">
        <f t="shared" ref="C49:D49" si="53">C48</f>
        <v>0.55000000000000004</v>
      </c>
      <c r="D49" s="12">
        <f t="shared" si="53"/>
        <v>1.4E-2</v>
      </c>
      <c r="E49" s="13">
        <f t="shared" si="3"/>
        <v>8.1028450554807202E-2</v>
      </c>
      <c r="F49" s="13">
        <f t="shared" si="4"/>
        <v>33.246343298884184</v>
      </c>
      <c r="G49" s="13">
        <f t="shared" si="5"/>
        <v>9.5028467841741016E-2</v>
      </c>
      <c r="H49" s="13">
        <f t="shared" si="6"/>
        <v>33.236262557877424</v>
      </c>
      <c r="I49" s="13">
        <f t="shared" si="7"/>
        <v>0.14732445555419491</v>
      </c>
      <c r="J49" s="14">
        <f t="shared" si="10"/>
        <v>4.7002432687047832E-2</v>
      </c>
    </row>
    <row r="50" spans="1:10" ht="16.5" x14ac:dyDescent="0.35">
      <c r="A50" s="10">
        <f t="shared" si="1"/>
        <v>49</v>
      </c>
      <c r="B50" s="1">
        <v>33.304687999999999</v>
      </c>
      <c r="C50" s="12">
        <f t="shared" ref="C50:D50" si="54">C49</f>
        <v>0.55000000000000004</v>
      </c>
      <c r="D50" s="12">
        <f t="shared" si="54"/>
        <v>1.4E-2</v>
      </c>
      <c r="E50" s="13">
        <f t="shared" si="3"/>
        <v>8.1028437986245108E-2</v>
      </c>
      <c r="F50" s="13">
        <f t="shared" si="4"/>
        <v>33.254938898877256</v>
      </c>
      <c r="G50" s="13">
        <f t="shared" si="5"/>
        <v>9.5028450554807201E-2</v>
      </c>
      <c r="H50" s="13">
        <f t="shared" si="6"/>
        <v>33.246343298884184</v>
      </c>
      <c r="I50" s="13">
        <f t="shared" si="7"/>
        <v>0.14732443270226381</v>
      </c>
      <c r="J50" s="14">
        <f t="shared" si="10"/>
        <v>4.5367551269647866E-2</v>
      </c>
    </row>
    <row r="51" spans="1:10" ht="16.5" x14ac:dyDescent="0.35">
      <c r="A51" s="10">
        <f t="shared" si="1"/>
        <v>50</v>
      </c>
      <c r="B51" s="1">
        <v>33.597656000000001</v>
      </c>
      <c r="C51" s="12">
        <f t="shared" ref="C51:D51" si="55">C50</f>
        <v>0.55000000000000004</v>
      </c>
      <c r="D51" s="12">
        <f t="shared" si="55"/>
        <v>1.4E-2</v>
      </c>
      <c r="E51" s="13">
        <f t="shared" si="3"/>
        <v>8.1028428848201189E-2</v>
      </c>
      <c r="F51" s="13">
        <f t="shared" si="4"/>
        <v>33.305429495683413</v>
      </c>
      <c r="G51" s="13">
        <f t="shared" si="5"/>
        <v>9.5028437986245107E-2</v>
      </c>
      <c r="H51" s="13">
        <f t="shared" si="6"/>
        <v>33.254938898877256</v>
      </c>
      <c r="I51" s="13">
        <f t="shared" si="7"/>
        <v>0.14732441608763849</v>
      </c>
      <c r="J51" s="14">
        <f t="shared" si="10"/>
        <v>4.5367551269647866E-2</v>
      </c>
    </row>
    <row r="52" spans="1:10" ht="16.5" x14ac:dyDescent="0.35">
      <c r="A52" s="10">
        <f t="shared" si="1"/>
        <v>51</v>
      </c>
      <c r="B52" s="1">
        <v>33.304687999999999</v>
      </c>
      <c r="C52" s="12">
        <f t="shared" ref="C52:D52" si="56">C51</f>
        <v>0.55000000000000004</v>
      </c>
      <c r="D52" s="12">
        <f t="shared" si="56"/>
        <v>1.4E-2</v>
      </c>
      <c r="E52" s="13">
        <f t="shared" si="3"/>
        <v>8.1028422204334608E-2</v>
      </c>
      <c r="F52" s="13">
        <f t="shared" si="4"/>
        <v>33.305320255273777</v>
      </c>
      <c r="G52" s="13">
        <f t="shared" si="5"/>
        <v>9.5028428848201188E-2</v>
      </c>
      <c r="H52" s="13">
        <f t="shared" si="6"/>
        <v>33.305429495683413</v>
      </c>
      <c r="I52" s="13">
        <f t="shared" si="7"/>
        <v>0.1473244040078811</v>
      </c>
      <c r="J52" s="14">
        <f t="shared" si="10"/>
        <v>4.5367551269647866E-2</v>
      </c>
    </row>
    <row r="53" spans="1:10" ht="16.5" x14ac:dyDescent="0.35">
      <c r="A53" s="10">
        <f t="shared" si="1"/>
        <v>52</v>
      </c>
      <c r="B53" s="1">
        <v>33.304687999999999</v>
      </c>
      <c r="C53" s="12">
        <f t="shared" ref="C53:D53" si="57">C52</f>
        <v>0.55000000000000004</v>
      </c>
      <c r="D53" s="12">
        <f t="shared" si="57"/>
        <v>1.4E-2</v>
      </c>
      <c r="E53" s="13">
        <f t="shared" si="3"/>
        <v>8.1028417373873673E-2</v>
      </c>
      <c r="F53" s="13">
        <f t="shared" si="4"/>
        <v>33.305227108647941</v>
      </c>
      <c r="G53" s="13">
        <f t="shared" si="5"/>
        <v>9.5028422204334606E-2</v>
      </c>
      <c r="H53" s="13">
        <f t="shared" si="6"/>
        <v>33.305320255273777</v>
      </c>
      <c r="I53" s="13">
        <f t="shared" si="7"/>
        <v>0.14732439522522486</v>
      </c>
      <c r="J53" s="14">
        <f t="shared" si="10"/>
        <v>4.5367551269647872E-2</v>
      </c>
    </row>
    <row r="54" spans="1:10" ht="16.5" x14ac:dyDescent="0.35">
      <c r="A54" s="10">
        <f t="shared" si="1"/>
        <v>53</v>
      </c>
      <c r="B54" s="1">
        <v>33.597656000000001</v>
      </c>
      <c r="C54" s="12">
        <f t="shared" ref="C54:D54" si="58">C53</f>
        <v>0.55000000000000004</v>
      </c>
      <c r="D54" s="12">
        <f t="shared" si="58"/>
        <v>1.4E-2</v>
      </c>
      <c r="E54" s="13">
        <f t="shared" si="3"/>
        <v>8.1028413861859563E-2</v>
      </c>
      <c r="F54" s="13">
        <f t="shared" si="4"/>
        <v>33.348309016345468</v>
      </c>
      <c r="G54" s="13">
        <f t="shared" si="5"/>
        <v>9.5028417373873672E-2</v>
      </c>
      <c r="H54" s="13">
        <f t="shared" si="6"/>
        <v>33.305227108647941</v>
      </c>
      <c r="I54" s="13">
        <f t="shared" si="7"/>
        <v>0.14732438883974464</v>
      </c>
      <c r="J54" s="14">
        <f t="shared" si="10"/>
        <v>4.8228565150790728E-2</v>
      </c>
    </row>
    <row r="55" spans="1:10" ht="16.5" x14ac:dyDescent="0.35">
      <c r="A55" s="10">
        <f t="shared" si="1"/>
        <v>54</v>
      </c>
      <c r="B55" s="1">
        <v>33.304687999999999</v>
      </c>
      <c r="C55" s="12">
        <f t="shared" ref="C55:D55" si="59">C54</f>
        <v>0.55000000000000004</v>
      </c>
      <c r="D55" s="12">
        <f t="shared" si="59"/>
        <v>1.4E-2</v>
      </c>
      <c r="E55" s="13">
        <f t="shared" si="3"/>
        <v>8.1028411308429679E-2</v>
      </c>
      <c r="F55" s="13">
        <f t="shared" si="4"/>
        <v>33.341882576974321</v>
      </c>
      <c r="G55" s="13">
        <f t="shared" si="5"/>
        <v>9.5028413861859562E-2</v>
      </c>
      <c r="H55" s="13">
        <f t="shared" si="6"/>
        <v>33.348309016345468</v>
      </c>
      <c r="I55" s="13">
        <f t="shared" si="7"/>
        <v>0.14732438419714486</v>
      </c>
      <c r="J55" s="14">
        <f t="shared" si="10"/>
        <v>4.822856515079077E-2</v>
      </c>
    </row>
    <row r="56" spans="1:10" ht="16.5" x14ac:dyDescent="0.35">
      <c r="A56" s="10">
        <f t="shared" si="1"/>
        <v>55</v>
      </c>
      <c r="B56" s="1">
        <v>33.011718999999999</v>
      </c>
      <c r="C56" s="12">
        <f t="shared" ref="C56:D56" si="60">C55</f>
        <v>0.55000000000000004</v>
      </c>
      <c r="D56" s="12">
        <f t="shared" si="60"/>
        <v>1.4E-2</v>
      </c>
      <c r="E56" s="13">
        <f t="shared" si="3"/>
        <v>8.1028409451943909E-2</v>
      </c>
      <c r="F56" s="13">
        <f t="shared" si="4"/>
        <v>33.293241432426697</v>
      </c>
      <c r="G56" s="13">
        <f t="shared" si="5"/>
        <v>9.5028411308429678E-2</v>
      </c>
      <c r="H56" s="13">
        <f t="shared" si="6"/>
        <v>33.341882576974321</v>
      </c>
      <c r="I56" s="13">
        <f t="shared" si="7"/>
        <v>0.14732438082171617</v>
      </c>
      <c r="J56" s="14">
        <f t="shared" si="10"/>
        <v>4.8228565150790728E-2</v>
      </c>
    </row>
    <row r="57" spans="1:10" ht="16.5" x14ac:dyDescent="0.35">
      <c r="A57" s="10">
        <f t="shared" si="1"/>
        <v>56</v>
      </c>
      <c r="B57" s="1">
        <v>33.597656000000001</v>
      </c>
      <c r="C57" s="12">
        <f t="shared" ref="C57:D57" si="61">C56</f>
        <v>0.55000000000000004</v>
      </c>
      <c r="D57" s="12">
        <f t="shared" si="61"/>
        <v>1.4E-2</v>
      </c>
      <c r="E57" s="13">
        <f t="shared" si="3"/>
        <v>8.102840810217532E-2</v>
      </c>
      <c r="F57" s="13">
        <f t="shared" si="4"/>
        <v>33.338089119360475</v>
      </c>
      <c r="G57" s="13">
        <f t="shared" si="5"/>
        <v>9.5028409451943907E-2</v>
      </c>
      <c r="H57" s="13">
        <f t="shared" si="6"/>
        <v>33.293241432426697</v>
      </c>
      <c r="I57" s="13">
        <f t="shared" si="7"/>
        <v>0.14732437836759146</v>
      </c>
      <c r="J57" s="14">
        <f t="shared" si="10"/>
        <v>5.0680863560390768E-2</v>
      </c>
    </row>
    <row r="58" spans="1:10" ht="16.5" x14ac:dyDescent="0.35">
      <c r="A58" s="10">
        <f t="shared" si="1"/>
        <v>57</v>
      </c>
      <c r="B58" s="1">
        <v>33.304687999999999</v>
      </c>
      <c r="C58" s="12">
        <f t="shared" ref="C58:D58" si="62">C57</f>
        <v>0.55000000000000004</v>
      </c>
      <c r="D58" s="12">
        <f t="shared" si="62"/>
        <v>1.4E-2</v>
      </c>
      <c r="E58" s="13">
        <f t="shared" si="3"/>
        <v>8.1028407120818338E-2</v>
      </c>
      <c r="F58" s="13">
        <f t="shared" si="4"/>
        <v>33.333168320273508</v>
      </c>
      <c r="G58" s="13">
        <f t="shared" si="5"/>
        <v>9.5028408102175319E-2</v>
      </c>
      <c r="H58" s="13">
        <f t="shared" si="6"/>
        <v>33.338089119360475</v>
      </c>
      <c r="I58" s="13">
        <f t="shared" si="7"/>
        <v>0.14732437658330608</v>
      </c>
      <c r="J58" s="14">
        <f t="shared" si="10"/>
        <v>4.8228565150790777E-2</v>
      </c>
    </row>
    <row r="59" spans="1:10" ht="16.5" x14ac:dyDescent="0.35">
      <c r="A59" s="10">
        <f t="shared" si="1"/>
        <v>58</v>
      </c>
      <c r="B59" s="1">
        <v>33.597656000000001</v>
      </c>
      <c r="C59" s="12">
        <f t="shared" ref="C59:D59" si="63">C58</f>
        <v>0.55000000000000004</v>
      </c>
      <c r="D59" s="12">
        <f t="shared" si="63"/>
        <v>1.4E-2</v>
      </c>
      <c r="E59" s="13">
        <f t="shared" si="3"/>
        <v>8.1028406407317136E-2</v>
      </c>
      <c r="F59" s="13">
        <f t="shared" si="4"/>
        <v>33.372133802460063</v>
      </c>
      <c r="G59" s="13">
        <f t="shared" si="5"/>
        <v>9.5028407120818337E-2</v>
      </c>
      <c r="H59" s="13">
        <f t="shared" si="6"/>
        <v>33.333168320273508</v>
      </c>
      <c r="I59" s="13">
        <f t="shared" si="7"/>
        <v>0.14732437528603118</v>
      </c>
      <c r="J59" s="14">
        <f t="shared" si="10"/>
        <v>4.8228565150790784E-2</v>
      </c>
    </row>
    <row r="60" spans="1:10" ht="16.5" x14ac:dyDescent="0.35">
      <c r="A60" s="10">
        <f t="shared" si="1"/>
        <v>59</v>
      </c>
      <c r="B60" s="1">
        <v>33.011718999999999</v>
      </c>
      <c r="C60" s="12">
        <f t="shared" ref="C60:D60" si="64">C59</f>
        <v>0.55000000000000004</v>
      </c>
      <c r="D60" s="12">
        <f t="shared" si="64"/>
        <v>1.4E-2</v>
      </c>
      <c r="E60" s="13">
        <f t="shared" si="3"/>
        <v>8.1028405888562E-2</v>
      </c>
      <c r="F60" s="13">
        <f t="shared" si="4"/>
        <v>33.319035917183733</v>
      </c>
      <c r="G60" s="13">
        <f t="shared" si="5"/>
        <v>9.5028406407317134E-2</v>
      </c>
      <c r="H60" s="13">
        <f t="shared" si="6"/>
        <v>33.372133802460063</v>
      </c>
      <c r="I60" s="13">
        <f t="shared" si="7"/>
        <v>0.14732437434284001</v>
      </c>
      <c r="J60" s="14">
        <f t="shared" si="10"/>
        <v>4.4141383928700262E-2</v>
      </c>
    </row>
    <row r="61" spans="1:10" ht="16.5" x14ac:dyDescent="0.35">
      <c r="A61" s="10">
        <f t="shared" si="1"/>
        <v>60</v>
      </c>
      <c r="B61" s="1">
        <v>33.011718999999999</v>
      </c>
      <c r="C61" s="12">
        <f t="shared" ref="C61:D61" si="65">C60</f>
        <v>0.55000000000000004</v>
      </c>
      <c r="D61" s="12">
        <f t="shared" si="65"/>
        <v>1.4E-2</v>
      </c>
      <c r="E61" s="13">
        <f t="shared" si="3"/>
        <v>8.1028405511398116E-2</v>
      </c>
      <c r="F61" s="13">
        <f t="shared" si="4"/>
        <v>33.27376064484541</v>
      </c>
      <c r="G61" s="13">
        <f t="shared" si="5"/>
        <v>9.5028405888561998E-2</v>
      </c>
      <c r="H61" s="13">
        <f t="shared" si="6"/>
        <v>33.319035917183733</v>
      </c>
      <c r="I61" s="13">
        <f t="shared" si="7"/>
        <v>0.14732437365708748</v>
      </c>
      <c r="J61" s="14">
        <f t="shared" si="10"/>
        <v>4.2097802385728841E-2</v>
      </c>
    </row>
    <row r="62" spans="1:10" ht="16.5" x14ac:dyDescent="0.35">
      <c r="A62" s="10">
        <f t="shared" si="1"/>
        <v>61</v>
      </c>
      <c r="B62" s="1">
        <v>33.597656000000001</v>
      </c>
      <c r="C62" s="12">
        <f t="shared" ref="C62:D62" si="66">C61</f>
        <v>0.55000000000000004</v>
      </c>
      <c r="D62" s="12">
        <f t="shared" si="66"/>
        <v>1.4E-2</v>
      </c>
      <c r="E62" s="13">
        <f t="shared" si="3"/>
        <v>8.1028405237178955E-2</v>
      </c>
      <c r="F62" s="13">
        <f t="shared" si="4"/>
        <v>33.321478325012514</v>
      </c>
      <c r="G62" s="13">
        <f t="shared" si="5"/>
        <v>9.5028405511398115E-2</v>
      </c>
      <c r="H62" s="13">
        <f t="shared" si="6"/>
        <v>33.27376064484541</v>
      </c>
      <c r="I62" s="13">
        <f t="shared" si="7"/>
        <v>0.14732437315850719</v>
      </c>
      <c r="J62" s="14">
        <f t="shared" si="10"/>
        <v>4.4141383928700262E-2</v>
      </c>
    </row>
    <row r="63" spans="1:10" ht="16.5" x14ac:dyDescent="0.35">
      <c r="A63" s="10">
        <f t="shared" si="1"/>
        <v>62</v>
      </c>
      <c r="B63" s="1">
        <v>33.011718999999999</v>
      </c>
      <c r="C63" s="12">
        <f t="shared" ref="C63:D63" si="67">C62</f>
        <v>0.55000000000000004</v>
      </c>
      <c r="D63" s="12">
        <f t="shared" si="67"/>
        <v>1.4E-2</v>
      </c>
      <c r="E63" s="13">
        <f t="shared" si="3"/>
        <v>8.1028405037806353E-2</v>
      </c>
      <c r="F63" s="13">
        <f t="shared" si="4"/>
        <v>33.275843226737329</v>
      </c>
      <c r="G63" s="13">
        <f t="shared" si="5"/>
        <v>9.5028405237178953E-2</v>
      </c>
      <c r="H63" s="13">
        <f t="shared" si="6"/>
        <v>33.321478325012514</v>
      </c>
      <c r="I63" s="13">
        <f t="shared" si="7"/>
        <v>0.14732437279601154</v>
      </c>
      <c r="J63" s="14">
        <f t="shared" si="10"/>
        <v>4.4141383928700262E-2</v>
      </c>
    </row>
    <row r="64" spans="1:10" ht="16.5" x14ac:dyDescent="0.35">
      <c r="A64" s="10">
        <f t="shared" si="1"/>
        <v>63</v>
      </c>
      <c r="B64" s="1">
        <v>33.304687999999999</v>
      </c>
      <c r="C64" s="12">
        <f t="shared" ref="C64:D64" si="68">C63</f>
        <v>0.55000000000000004</v>
      </c>
      <c r="D64" s="12">
        <f t="shared" si="68"/>
        <v>1.4E-2</v>
      </c>
      <c r="E64" s="13">
        <f t="shared" si="3"/>
        <v>8.1028404892851361E-2</v>
      </c>
      <c r="F64" s="13">
        <f t="shared" si="4"/>
        <v>33.280092764859091</v>
      </c>
      <c r="G64" s="13">
        <f t="shared" si="5"/>
        <v>9.5028405037806352E-2</v>
      </c>
      <c r="H64" s="13">
        <f t="shared" si="6"/>
        <v>33.275843226737329</v>
      </c>
      <c r="I64" s="13">
        <f t="shared" si="7"/>
        <v>0.147324372532457</v>
      </c>
      <c r="J64" s="14">
        <f t="shared" si="10"/>
        <v>3.7193186035290773E-2</v>
      </c>
    </row>
    <row r="65" spans="1:10" ht="16.5" x14ac:dyDescent="0.35">
      <c r="A65" s="10">
        <f t="shared" si="1"/>
        <v>64</v>
      </c>
      <c r="B65" s="1">
        <v>33.304687999999999</v>
      </c>
      <c r="C65" s="12">
        <f t="shared" ref="C65:D65" si="69">C64</f>
        <v>0.55000000000000004</v>
      </c>
      <c r="D65" s="12">
        <f t="shared" si="69"/>
        <v>1.4E-2</v>
      </c>
      <c r="E65" s="13">
        <f t="shared" si="3"/>
        <v>8.1028404787460998E-2</v>
      </c>
      <c r="F65" s="13">
        <f t="shared" si="4"/>
        <v>33.2837162424388</v>
      </c>
      <c r="G65" s="13">
        <f t="shared" si="5"/>
        <v>9.5028404892851359E-2</v>
      </c>
      <c r="H65" s="13">
        <f t="shared" si="6"/>
        <v>33.280092764859091</v>
      </c>
      <c r="I65" s="13">
        <f t="shared" si="7"/>
        <v>0.14732437234083817</v>
      </c>
      <c r="J65" s="14">
        <f t="shared" si="10"/>
        <v>3.719318603529076E-2</v>
      </c>
    </row>
    <row r="66" spans="1:10" ht="16.5" x14ac:dyDescent="0.35">
      <c r="A66" s="10">
        <f t="shared" si="1"/>
        <v>65</v>
      </c>
      <c r="B66" s="1">
        <v>33.304687999999999</v>
      </c>
      <c r="C66" s="12">
        <f t="shared" ref="C66:D66" si="70">C65</f>
        <v>0.55000000000000004</v>
      </c>
      <c r="D66" s="12">
        <f t="shared" si="70"/>
        <v>1.4E-2</v>
      </c>
      <c r="E66" s="13">
        <f t="shared" si="3"/>
        <v>8.1028404710836333E-2</v>
      </c>
      <c r="F66" s="13">
        <f t="shared" si="4"/>
        <v>33.286805893455465</v>
      </c>
      <c r="G66" s="13">
        <f t="shared" si="5"/>
        <v>9.5028404787460996E-2</v>
      </c>
      <c r="H66" s="13">
        <f t="shared" si="6"/>
        <v>33.2837162424388</v>
      </c>
      <c r="I66" s="13">
        <f t="shared" si="7"/>
        <v>0.14732437220152059</v>
      </c>
      <c r="J66" s="14">
        <f t="shared" si="10"/>
        <v>3.719318603529076E-2</v>
      </c>
    </row>
    <row r="67" spans="1:10" ht="16.5" x14ac:dyDescent="0.35">
      <c r="A67" s="10">
        <f t="shared" si="1"/>
        <v>66</v>
      </c>
      <c r="B67" s="1">
        <v>33.597656000000001</v>
      </c>
      <c r="C67" s="12">
        <f t="shared" ref="C67:D67" si="71">C66</f>
        <v>0.55000000000000004</v>
      </c>
      <c r="D67" s="12">
        <f t="shared" si="71"/>
        <v>1.4E-2</v>
      </c>
      <c r="E67" s="13">
        <f t="shared" si="3"/>
        <v>8.1028404655125924E-2</v>
      </c>
      <c r="F67" s="13">
        <f t="shared" si="4"/>
        <v>33.332601690219427</v>
      </c>
      <c r="G67" s="13">
        <f t="shared" si="5"/>
        <v>9.5028404710836331E-2</v>
      </c>
      <c r="H67" s="13">
        <f t="shared" si="6"/>
        <v>33.286805893455465</v>
      </c>
      <c r="I67" s="13">
        <f t="shared" si="7"/>
        <v>0.14732437210022897</v>
      </c>
      <c r="J67" s="14">
        <f t="shared" si="10"/>
        <v>2.9836269880162192E-2</v>
      </c>
    </row>
    <row r="68" spans="1:10" ht="16.5" x14ac:dyDescent="0.35">
      <c r="A68" s="10">
        <f t="shared" ref="A68:A131" si="72">A67+1</f>
        <v>67</v>
      </c>
      <c r="B68" s="1">
        <v>33.597656000000001</v>
      </c>
      <c r="C68" s="12">
        <f t="shared" ref="C68:D68" si="73">C67</f>
        <v>0.55000000000000004</v>
      </c>
      <c r="D68" s="12">
        <f t="shared" si="73"/>
        <v>1.4E-2</v>
      </c>
      <c r="E68" s="13">
        <f t="shared" ref="E68:E100" si="74">(1-I68)*G68</f>
        <v>8.1028404614621366E-2</v>
      </c>
      <c r="F68" s="13">
        <f t="shared" ref="F68:F100" si="75">H68+I68*(B68-H68)</f>
        <v>33.371650649960792</v>
      </c>
      <c r="G68" s="13">
        <f t="shared" ref="G68:G100" si="76">E67+D67</f>
        <v>9.5028404655125923E-2</v>
      </c>
      <c r="H68" s="13">
        <f t="shared" ref="H68:H100" si="77">F67</f>
        <v>33.332601690219427</v>
      </c>
      <c r="I68" s="13">
        <f t="shared" ref="I68:I100" si="78">G68/(G68+C68)</f>
        <v>0.14732437202658427</v>
      </c>
      <c r="J68" s="14">
        <f t="shared" si="10"/>
        <v>3.0653702218333616E-2</v>
      </c>
    </row>
    <row r="69" spans="1:10" ht="16.5" x14ac:dyDescent="0.35">
      <c r="A69" s="10">
        <f t="shared" si="72"/>
        <v>68</v>
      </c>
      <c r="B69" s="1">
        <v>33.304687999999999</v>
      </c>
      <c r="C69" s="12">
        <f t="shared" ref="C69:D69" si="79">C68</f>
        <v>0.55000000000000004</v>
      </c>
      <c r="D69" s="12">
        <f t="shared" si="79"/>
        <v>1.4E-2</v>
      </c>
      <c r="E69" s="13">
        <f t="shared" si="74"/>
        <v>8.1028404585172284E-2</v>
      </c>
      <c r="F69" s="13">
        <f t="shared" si="75"/>
        <v>33.361785419609667</v>
      </c>
      <c r="G69" s="13">
        <f t="shared" si="76"/>
        <v>9.5028404614621365E-2</v>
      </c>
      <c r="H69" s="13">
        <f t="shared" si="77"/>
        <v>33.371650649960792</v>
      </c>
      <c r="I69" s="13">
        <f t="shared" si="78"/>
        <v>0.14732437197304052</v>
      </c>
      <c r="J69" s="14">
        <f t="shared" si="10"/>
        <v>3.1062419084962201E-2</v>
      </c>
    </row>
    <row r="70" spans="1:10" ht="16.5" x14ac:dyDescent="0.35">
      <c r="A70" s="10">
        <f t="shared" si="72"/>
        <v>69</v>
      </c>
      <c r="B70" s="1">
        <v>33.304687999999999</v>
      </c>
      <c r="C70" s="12">
        <f t="shared" ref="C70:D70" si="80">C69</f>
        <v>0.55000000000000004</v>
      </c>
      <c r="D70" s="12">
        <f t="shared" si="80"/>
        <v>1.4E-2</v>
      </c>
      <c r="E70" s="13">
        <f t="shared" si="74"/>
        <v>8.1028404563761161E-2</v>
      </c>
      <c r="F70" s="13">
        <f t="shared" si="75"/>
        <v>33.353373578126615</v>
      </c>
      <c r="G70" s="13">
        <f t="shared" si="76"/>
        <v>9.5028404585172283E-2</v>
      </c>
      <c r="H70" s="13">
        <f t="shared" si="77"/>
        <v>33.361785419609667</v>
      </c>
      <c r="I70" s="13">
        <f t="shared" si="78"/>
        <v>0.14732437193411121</v>
      </c>
      <c r="J70" s="14">
        <f t="shared" ref="J70:J133" si="81">_xlfn.VAR.S(B67:B87)</f>
        <v>3.9236773158614568E-2</v>
      </c>
    </row>
    <row r="71" spans="1:10" ht="16.5" x14ac:dyDescent="0.35">
      <c r="A71" s="10">
        <f t="shared" si="72"/>
        <v>70</v>
      </c>
      <c r="B71" s="1">
        <v>33.597656000000001</v>
      </c>
      <c r="C71" s="12">
        <f t="shared" ref="C71:D71" si="82">C70</f>
        <v>0.55000000000000004</v>
      </c>
      <c r="D71" s="12">
        <f t="shared" si="82"/>
        <v>1.4E-2</v>
      </c>
      <c r="E71" s="13">
        <f t="shared" si="74"/>
        <v>8.1028404548194086E-2</v>
      </c>
      <c r="F71" s="13">
        <f t="shared" si="75"/>
        <v>33.389362332496738</v>
      </c>
      <c r="G71" s="13">
        <f t="shared" si="76"/>
        <v>9.502840456376116E-2</v>
      </c>
      <c r="H71" s="13">
        <f t="shared" si="77"/>
        <v>33.353373578126615</v>
      </c>
      <c r="I71" s="13">
        <f t="shared" si="78"/>
        <v>0.14732437190580741</v>
      </c>
      <c r="J71" s="14">
        <f t="shared" si="81"/>
        <v>3.9645488630157433E-2</v>
      </c>
    </row>
    <row r="72" spans="1:10" ht="16.5" x14ac:dyDescent="0.35">
      <c r="A72" s="10">
        <f t="shared" si="72"/>
        <v>71</v>
      </c>
      <c r="B72" s="1">
        <v>33.597656000000001</v>
      </c>
      <c r="C72" s="12">
        <f t="shared" ref="C72:D72" si="83">C71</f>
        <v>0.55000000000000004</v>
      </c>
      <c r="D72" s="12">
        <f t="shared" si="83"/>
        <v>1.4E-2</v>
      </c>
      <c r="E72" s="13">
        <f t="shared" si="74"/>
        <v>8.1028404536875945E-2</v>
      </c>
      <c r="F72" s="13">
        <f t="shared" si="75"/>
        <v>33.420049066229325</v>
      </c>
      <c r="G72" s="13">
        <f t="shared" si="76"/>
        <v>9.5028404548194084E-2</v>
      </c>
      <c r="H72" s="13">
        <f t="shared" si="77"/>
        <v>33.389362332496738</v>
      </c>
      <c r="I72" s="13">
        <f t="shared" si="78"/>
        <v>0.14732437188522901</v>
      </c>
      <c r="J72" s="14">
        <f t="shared" si="81"/>
        <v>3.964548863015744E-2</v>
      </c>
    </row>
    <row r="73" spans="1:10" ht="16.5" x14ac:dyDescent="0.35">
      <c r="A73" s="10">
        <f t="shared" si="72"/>
        <v>72</v>
      </c>
      <c r="B73" s="1">
        <v>33.304687999999999</v>
      </c>
      <c r="C73" s="12">
        <f t="shared" ref="C73:D73" si="84">C72</f>
        <v>0.55000000000000004</v>
      </c>
      <c r="D73" s="12">
        <f t="shared" si="84"/>
        <v>1.4E-2</v>
      </c>
      <c r="E73" s="13">
        <f t="shared" si="74"/>
        <v>8.1028404528647027E-2</v>
      </c>
      <c r="F73" s="13">
        <f t="shared" si="75"/>
        <v>33.403053569608808</v>
      </c>
      <c r="G73" s="13">
        <f t="shared" si="76"/>
        <v>9.5028404536875943E-2</v>
      </c>
      <c r="H73" s="13">
        <f t="shared" si="77"/>
        <v>33.420049066229325</v>
      </c>
      <c r="I73" s="13">
        <f t="shared" si="78"/>
        <v>0.14732437187026734</v>
      </c>
      <c r="J73" s="14">
        <f t="shared" si="81"/>
        <v>3.9236773158614568E-2</v>
      </c>
    </row>
    <row r="74" spans="1:10" ht="16.5" x14ac:dyDescent="0.35">
      <c r="A74" s="10">
        <f t="shared" si="72"/>
        <v>73</v>
      </c>
      <c r="B74" s="1">
        <v>33.597656000000001</v>
      </c>
      <c r="C74" s="12">
        <f t="shared" ref="C74:D74" si="85">C73</f>
        <v>0.55000000000000004</v>
      </c>
      <c r="D74" s="12">
        <f t="shared" si="85"/>
        <v>1.4E-2</v>
      </c>
      <c r="E74" s="13">
        <f t="shared" si="74"/>
        <v>8.102840452266416E-2</v>
      </c>
      <c r="F74" s="13">
        <f t="shared" si="75"/>
        <v>33.431723250428504</v>
      </c>
      <c r="G74" s="13">
        <f t="shared" si="76"/>
        <v>9.5028404528647026E-2</v>
      </c>
      <c r="H74" s="13">
        <f t="shared" si="77"/>
        <v>33.403053569608808</v>
      </c>
      <c r="I74" s="13">
        <f t="shared" si="78"/>
        <v>0.14732437185938935</v>
      </c>
      <c r="J74" s="14">
        <f t="shared" si="81"/>
        <v>3.841934221552884E-2</v>
      </c>
    </row>
    <row r="75" spans="1:10" ht="16.5" x14ac:dyDescent="0.35">
      <c r="A75" s="10">
        <f t="shared" si="72"/>
        <v>74</v>
      </c>
      <c r="B75" s="1">
        <v>33.304687999999999</v>
      </c>
      <c r="C75" s="12">
        <f t="shared" ref="C75:D75" si="86">C74</f>
        <v>0.55000000000000004</v>
      </c>
      <c r="D75" s="12">
        <f t="shared" si="86"/>
        <v>1.4E-2</v>
      </c>
      <c r="E75" s="13">
        <f t="shared" si="74"/>
        <v>8.1028404518314279E-2</v>
      </c>
      <c r="F75" s="13">
        <f t="shared" si="75"/>
        <v>33.413007861956132</v>
      </c>
      <c r="G75" s="13">
        <f t="shared" si="76"/>
        <v>9.5028404522664159E-2</v>
      </c>
      <c r="H75" s="13">
        <f t="shared" si="77"/>
        <v>33.431723250428504</v>
      </c>
      <c r="I75" s="13">
        <f t="shared" si="78"/>
        <v>0.14732437185148048</v>
      </c>
      <c r="J75" s="14">
        <f t="shared" si="81"/>
        <v>3.9236773158614562E-2</v>
      </c>
    </row>
    <row r="76" spans="1:10" ht="16.5" x14ac:dyDescent="0.35">
      <c r="A76" s="10">
        <f t="shared" si="72"/>
        <v>75</v>
      </c>
      <c r="B76" s="1">
        <v>33.304687999999999</v>
      </c>
      <c r="C76" s="12">
        <f t="shared" ref="C76:D76" si="87">C75</f>
        <v>0.55000000000000004</v>
      </c>
      <c r="D76" s="12">
        <f t="shared" si="87"/>
        <v>1.4E-2</v>
      </c>
      <c r="E76" s="13">
        <f t="shared" si="74"/>
        <v>8.102840451515167E-2</v>
      </c>
      <c r="F76" s="13">
        <f t="shared" si="75"/>
        <v>33.397049706335025</v>
      </c>
      <c r="G76" s="13">
        <f t="shared" si="76"/>
        <v>9.5028404518314277E-2</v>
      </c>
      <c r="H76" s="13">
        <f t="shared" si="77"/>
        <v>33.413007861956132</v>
      </c>
      <c r="I76" s="13">
        <f t="shared" si="78"/>
        <v>0.1473243718457303</v>
      </c>
      <c r="J76" s="14">
        <f t="shared" si="81"/>
        <v>4.8228556780262187E-2</v>
      </c>
    </row>
    <row r="77" spans="1:10" ht="16.5" x14ac:dyDescent="0.35">
      <c r="A77" s="10">
        <f t="shared" si="72"/>
        <v>76</v>
      </c>
      <c r="B77" s="1">
        <v>33.597656000000001</v>
      </c>
      <c r="C77" s="12">
        <f t="shared" ref="C77:D77" si="88">C76</f>
        <v>0.55000000000000004</v>
      </c>
      <c r="D77" s="12">
        <f t="shared" si="88"/>
        <v>1.4E-2</v>
      </c>
      <c r="E77" s="13">
        <f t="shared" si="74"/>
        <v>8.1028404512852273E-2</v>
      </c>
      <c r="F77" s="13">
        <f t="shared" si="75"/>
        <v>33.426603902536677</v>
      </c>
      <c r="G77" s="13">
        <f t="shared" si="76"/>
        <v>9.5028404515151668E-2</v>
      </c>
      <c r="H77" s="13">
        <f t="shared" si="77"/>
        <v>33.397049706335025</v>
      </c>
      <c r="I77" s="13">
        <f t="shared" si="78"/>
        <v>0.14732437184154956</v>
      </c>
      <c r="J77" s="14">
        <f t="shared" si="81"/>
        <v>4.8228558175347901E-2</v>
      </c>
    </row>
    <row r="78" spans="1:10" ht="16.5" x14ac:dyDescent="0.35">
      <c r="A78" s="10">
        <f t="shared" si="72"/>
        <v>77</v>
      </c>
      <c r="B78" s="1">
        <v>33.304687999999999</v>
      </c>
      <c r="C78" s="12">
        <f t="shared" ref="C78:D78" si="89">C77</f>
        <v>0.55000000000000004</v>
      </c>
      <c r="D78" s="12">
        <f t="shared" si="89"/>
        <v>1.4E-2</v>
      </c>
      <c r="E78" s="13">
        <f t="shared" si="74"/>
        <v>8.1028404511180485E-2</v>
      </c>
      <c r="F78" s="13">
        <f t="shared" si="75"/>
        <v>33.408642718778339</v>
      </c>
      <c r="G78" s="13">
        <f t="shared" si="76"/>
        <v>9.5028404512852271E-2</v>
      </c>
      <c r="H78" s="13">
        <f t="shared" si="77"/>
        <v>33.426603902536677</v>
      </c>
      <c r="I78" s="13">
        <f t="shared" si="78"/>
        <v>0.14732437183850997</v>
      </c>
      <c r="J78" s="14">
        <f t="shared" si="81"/>
        <v>4.8228556780262201E-2</v>
      </c>
    </row>
    <row r="79" spans="1:10" ht="16.5" x14ac:dyDescent="0.35">
      <c r="A79" s="10">
        <f t="shared" si="72"/>
        <v>78</v>
      </c>
      <c r="B79" s="1">
        <v>33.597656000000001</v>
      </c>
      <c r="C79" s="12">
        <f t="shared" ref="C79:D79" si="90">C78</f>
        <v>0.55000000000000004</v>
      </c>
      <c r="D79" s="12">
        <f t="shared" si="90"/>
        <v>1.4E-2</v>
      </c>
      <c r="E79" s="13">
        <f t="shared" si="74"/>
        <v>8.1028404509964999E-2</v>
      </c>
      <c r="F79" s="13">
        <f t="shared" si="75"/>
        <v>33.436488981703036</v>
      </c>
      <c r="G79" s="13">
        <f t="shared" si="76"/>
        <v>9.5028404511180484E-2</v>
      </c>
      <c r="H79" s="13">
        <f t="shared" si="77"/>
        <v>33.408642718778339</v>
      </c>
      <c r="I79" s="13">
        <f t="shared" si="78"/>
        <v>0.14732437183630001</v>
      </c>
      <c r="J79" s="14">
        <f t="shared" si="81"/>
        <v>4.8228558175347901E-2</v>
      </c>
    </row>
    <row r="80" spans="1:10" ht="16.5" x14ac:dyDescent="0.35">
      <c r="A80" s="10">
        <f t="shared" si="72"/>
        <v>79</v>
      </c>
      <c r="B80" s="1">
        <v>33.597656000000001</v>
      </c>
      <c r="C80" s="12">
        <f t="shared" ref="C80:D80" si="91">C79</f>
        <v>0.55000000000000004</v>
      </c>
      <c r="D80" s="12">
        <f t="shared" si="91"/>
        <v>1.4E-2</v>
      </c>
      <c r="E80" s="13">
        <f t="shared" si="74"/>
        <v>8.1028404509081275E-2</v>
      </c>
      <c r="F80" s="13">
        <f t="shared" si="75"/>
        <v>33.460232811434103</v>
      </c>
      <c r="G80" s="13">
        <f t="shared" si="76"/>
        <v>9.5028404509964998E-2</v>
      </c>
      <c r="H80" s="13">
        <f t="shared" si="77"/>
        <v>33.436488981703036</v>
      </c>
      <c r="I80" s="13">
        <f t="shared" si="78"/>
        <v>0.14732437183469321</v>
      </c>
      <c r="J80" s="14">
        <f t="shared" si="81"/>
        <v>4.7819844098890771E-2</v>
      </c>
    </row>
    <row r="81" spans="1:10" ht="16.5" x14ac:dyDescent="0.35">
      <c r="A81" s="10">
        <f t="shared" si="72"/>
        <v>80</v>
      </c>
      <c r="B81" s="1">
        <v>33.304687999999999</v>
      </c>
      <c r="C81" s="12">
        <f t="shared" ref="C81:D81" si="92">C80</f>
        <v>0.55000000000000004</v>
      </c>
      <c r="D81" s="12">
        <f t="shared" si="92"/>
        <v>1.4E-2</v>
      </c>
      <c r="E81" s="13">
        <f t="shared" si="74"/>
        <v>8.1028404508438762E-2</v>
      </c>
      <c r="F81" s="13">
        <f t="shared" si="75"/>
        <v>33.43731726979761</v>
      </c>
      <c r="G81" s="13">
        <f t="shared" si="76"/>
        <v>9.5028404509081274E-2</v>
      </c>
      <c r="H81" s="13">
        <f t="shared" si="77"/>
        <v>33.460232811434103</v>
      </c>
      <c r="I81" s="13">
        <f t="shared" si="78"/>
        <v>0.14732437183352501</v>
      </c>
      <c r="J81" s="14">
        <f t="shared" si="81"/>
        <v>4.7819844098890771E-2</v>
      </c>
    </row>
    <row r="82" spans="1:10" ht="16.5" x14ac:dyDescent="0.35">
      <c r="A82" s="10">
        <f t="shared" si="72"/>
        <v>81</v>
      </c>
      <c r="B82" s="1">
        <v>33.011718999999999</v>
      </c>
      <c r="C82" s="12">
        <f t="shared" ref="C82:D82" si="93">C81</f>
        <v>0.55000000000000004</v>
      </c>
      <c r="D82" s="12">
        <f t="shared" si="93"/>
        <v>1.4E-2</v>
      </c>
      <c r="E82" s="13">
        <f t="shared" si="74"/>
        <v>8.1028404507971621E-2</v>
      </c>
      <c r="F82" s="13">
        <f t="shared" si="75"/>
        <v>33.374616272046602</v>
      </c>
      <c r="G82" s="13">
        <f t="shared" si="76"/>
        <v>9.502840450843876E-2</v>
      </c>
      <c r="H82" s="13">
        <f t="shared" si="77"/>
        <v>33.43731726979761</v>
      </c>
      <c r="I82" s="13">
        <f t="shared" si="78"/>
        <v>0.14732437183267566</v>
      </c>
      <c r="J82" s="14">
        <f t="shared" si="81"/>
        <v>4.7002414550890742E-2</v>
      </c>
    </row>
    <row r="83" spans="1:10" ht="16.5" x14ac:dyDescent="0.35">
      <c r="A83" s="10">
        <f t="shared" si="72"/>
        <v>82</v>
      </c>
      <c r="B83" s="1">
        <v>33.597656000000001</v>
      </c>
      <c r="C83" s="12">
        <f t="shared" ref="C83:D83" si="94">C82</f>
        <v>0.55000000000000004</v>
      </c>
      <c r="D83" s="12">
        <f t="shared" si="94"/>
        <v>1.4E-2</v>
      </c>
      <c r="E83" s="13">
        <f t="shared" si="74"/>
        <v>8.1028404507631976E-2</v>
      </c>
      <c r="F83" s="13">
        <f t="shared" si="75"/>
        <v>33.407475459860926</v>
      </c>
      <c r="G83" s="13">
        <f t="shared" si="76"/>
        <v>9.502840450797162E-2</v>
      </c>
      <c r="H83" s="13">
        <f t="shared" si="77"/>
        <v>33.374616272046602</v>
      </c>
      <c r="I83" s="13">
        <f t="shared" si="78"/>
        <v>0.14732437183205813</v>
      </c>
      <c r="J83" s="14">
        <f t="shared" si="81"/>
        <v>4.7002414550890749E-2</v>
      </c>
    </row>
    <row r="84" spans="1:10" ht="16.5" x14ac:dyDescent="0.35">
      <c r="A84" s="10">
        <f t="shared" si="72"/>
        <v>83</v>
      </c>
      <c r="B84" s="1">
        <v>33.304687999999999</v>
      </c>
      <c r="C84" s="12">
        <f t="shared" ref="C84:D84" si="95">C83</f>
        <v>0.55000000000000004</v>
      </c>
      <c r="D84" s="12">
        <f t="shared" si="95"/>
        <v>1.4E-2</v>
      </c>
      <c r="E84" s="13">
        <f t="shared" si="74"/>
        <v>8.1028404507385035E-2</v>
      </c>
      <c r="F84" s="13">
        <f t="shared" si="75"/>
        <v>33.392332361904749</v>
      </c>
      <c r="G84" s="13">
        <f t="shared" si="76"/>
        <v>9.5028404507631975E-2</v>
      </c>
      <c r="H84" s="13">
        <f t="shared" si="77"/>
        <v>33.407475459860926</v>
      </c>
      <c r="I84" s="13">
        <f t="shared" si="78"/>
        <v>0.14732437183160915</v>
      </c>
      <c r="J84" s="14">
        <f t="shared" si="81"/>
        <v>5.4359333496200271E-2</v>
      </c>
    </row>
    <row r="85" spans="1:10" ht="16.5" x14ac:dyDescent="0.35">
      <c r="A85" s="10">
        <f t="shared" si="72"/>
        <v>84</v>
      </c>
      <c r="B85" s="1">
        <v>33.597656000000001</v>
      </c>
      <c r="C85" s="12">
        <f t="shared" ref="C85:D85" si="96">C84</f>
        <v>0.55000000000000004</v>
      </c>
      <c r="D85" s="12">
        <f t="shared" si="96"/>
        <v>1.4E-2</v>
      </c>
      <c r="E85" s="13">
        <f t="shared" si="74"/>
        <v>8.1028404507205498E-2</v>
      </c>
      <c r="F85" s="13">
        <f t="shared" si="75"/>
        <v>33.422581537909245</v>
      </c>
      <c r="G85" s="13">
        <f t="shared" si="76"/>
        <v>9.5028404507385034E-2</v>
      </c>
      <c r="H85" s="13">
        <f t="shared" si="77"/>
        <v>33.392332361904749</v>
      </c>
      <c r="I85" s="13">
        <f t="shared" si="78"/>
        <v>0.14732437183128272</v>
      </c>
      <c r="J85" s="14">
        <f t="shared" si="81"/>
        <v>5.4359333496200271E-2</v>
      </c>
    </row>
    <row r="86" spans="1:10" ht="16.5" x14ac:dyDescent="0.35">
      <c r="A86" s="10">
        <f t="shared" si="72"/>
        <v>85</v>
      </c>
      <c r="B86" s="1">
        <v>33.597656000000001</v>
      </c>
      <c r="C86" s="12">
        <f t="shared" ref="C86:D86" si="97">C85</f>
        <v>0.55000000000000004</v>
      </c>
      <c r="D86" s="12">
        <f t="shared" si="97"/>
        <v>1.4E-2</v>
      </c>
      <c r="E86" s="13">
        <f t="shared" si="74"/>
        <v>8.1028404507074964E-2</v>
      </c>
      <c r="F86" s="13">
        <f t="shared" si="75"/>
        <v>33.448374273060423</v>
      </c>
      <c r="G86" s="13">
        <f t="shared" si="76"/>
        <v>9.5028404507205497E-2</v>
      </c>
      <c r="H86" s="13">
        <f t="shared" si="77"/>
        <v>33.422581537909245</v>
      </c>
      <c r="I86" s="13">
        <f t="shared" si="78"/>
        <v>0.14732437183104538</v>
      </c>
      <c r="J86" s="14">
        <f t="shared" si="81"/>
        <v>4.8228583286933559E-2</v>
      </c>
    </row>
    <row r="87" spans="1:10" ht="16.5" x14ac:dyDescent="0.35">
      <c r="A87" s="10">
        <f t="shared" si="72"/>
        <v>86</v>
      </c>
      <c r="B87" s="1">
        <v>33.890625</v>
      </c>
      <c r="C87" s="12">
        <f t="shared" ref="C87:D87" si="98">C86</f>
        <v>0.55000000000000004</v>
      </c>
      <c r="D87" s="12">
        <f t="shared" si="98"/>
        <v>1.4E-2</v>
      </c>
      <c r="E87" s="13">
        <f t="shared" si="74"/>
        <v>8.1028404506980067E-2</v>
      </c>
      <c r="F87" s="13">
        <f t="shared" si="75"/>
        <v>33.513528583598543</v>
      </c>
      <c r="G87" s="13">
        <f t="shared" si="76"/>
        <v>9.5028404507074962E-2</v>
      </c>
      <c r="H87" s="13">
        <f t="shared" si="77"/>
        <v>33.448374273060423</v>
      </c>
      <c r="I87" s="13">
        <f t="shared" si="78"/>
        <v>0.14732437183087282</v>
      </c>
      <c r="J87" s="14">
        <f t="shared" si="81"/>
        <v>5.3950630580457362E-2</v>
      </c>
    </row>
    <row r="88" spans="1:10" ht="16.5" x14ac:dyDescent="0.35">
      <c r="A88" s="10">
        <f t="shared" si="72"/>
        <v>87</v>
      </c>
      <c r="B88" s="1">
        <v>33.304687999999999</v>
      </c>
      <c r="C88" s="12">
        <f t="shared" ref="C88:D88" si="99">C87</f>
        <v>0.55000000000000004</v>
      </c>
      <c r="D88" s="12">
        <f t="shared" si="99"/>
        <v>1.4E-2</v>
      </c>
      <c r="E88" s="13">
        <f t="shared" si="74"/>
        <v>8.1028404506911067E-2</v>
      </c>
      <c r="F88" s="13">
        <f t="shared" si="75"/>
        <v>33.482761275807121</v>
      </c>
      <c r="G88" s="13">
        <f t="shared" si="76"/>
        <v>9.5028404506980066E-2</v>
      </c>
      <c r="H88" s="13">
        <f t="shared" si="77"/>
        <v>33.513528583598543</v>
      </c>
      <c r="I88" s="13">
        <f t="shared" si="78"/>
        <v>0.1473243718307474</v>
      </c>
      <c r="J88" s="14">
        <f t="shared" si="81"/>
        <v>5.0680902622857314E-2</v>
      </c>
    </row>
    <row r="89" spans="1:10" ht="16.5" x14ac:dyDescent="0.35">
      <c r="A89" s="10">
        <f t="shared" si="72"/>
        <v>88</v>
      </c>
      <c r="B89" s="1">
        <v>33.597656000000001</v>
      </c>
      <c r="C89" s="12">
        <f t="shared" ref="C89:D89" si="100">C88</f>
        <v>0.55000000000000004</v>
      </c>
      <c r="D89" s="12">
        <f t="shared" si="100"/>
        <v>1.4E-2</v>
      </c>
      <c r="E89" s="13">
        <f t="shared" si="74"/>
        <v>8.1028404506860899E-2</v>
      </c>
      <c r="F89" s="13">
        <f t="shared" si="75"/>
        <v>33.499688068875493</v>
      </c>
      <c r="G89" s="13">
        <f t="shared" si="76"/>
        <v>9.5028404506911066E-2</v>
      </c>
      <c r="H89" s="13">
        <f t="shared" si="77"/>
        <v>33.482761275807121</v>
      </c>
      <c r="I89" s="13">
        <f t="shared" si="78"/>
        <v>0.14732437183065616</v>
      </c>
      <c r="J89" s="14">
        <f t="shared" si="81"/>
        <v>6.5394720982233562E-2</v>
      </c>
    </row>
    <row r="90" spans="1:10" ht="16.5" x14ac:dyDescent="0.35">
      <c r="A90" s="10">
        <f t="shared" si="72"/>
        <v>89</v>
      </c>
      <c r="B90" s="1">
        <v>33.597656000000001</v>
      </c>
      <c r="C90" s="12">
        <f t="shared" ref="C90:D90" si="101">C89</f>
        <v>0.55000000000000004</v>
      </c>
      <c r="D90" s="12">
        <f t="shared" si="101"/>
        <v>1.4E-2</v>
      </c>
      <c r="E90" s="13">
        <f t="shared" si="74"/>
        <v>8.1028404506824414E-2</v>
      </c>
      <c r="F90" s="13">
        <f t="shared" si="75"/>
        <v>33.514121132787956</v>
      </c>
      <c r="G90" s="13">
        <f t="shared" si="76"/>
        <v>9.5028404506860897E-2</v>
      </c>
      <c r="H90" s="13">
        <f t="shared" si="77"/>
        <v>33.499688068875493</v>
      </c>
      <c r="I90" s="13">
        <f t="shared" si="78"/>
        <v>0.14732437183058986</v>
      </c>
      <c r="J90" s="14">
        <f t="shared" si="81"/>
        <v>6.5394720982233562E-2</v>
      </c>
    </row>
    <row r="91" spans="1:10" ht="16.5" x14ac:dyDescent="0.35">
      <c r="A91" s="10">
        <f t="shared" si="72"/>
        <v>90</v>
      </c>
      <c r="B91" s="1">
        <v>33.597656000000001</v>
      </c>
      <c r="C91" s="12">
        <f t="shared" ref="C91:D91" si="102">C90</f>
        <v>0.55000000000000004</v>
      </c>
      <c r="D91" s="12">
        <f t="shared" si="102"/>
        <v>1.4E-2</v>
      </c>
      <c r="E91" s="13">
        <f t="shared" si="74"/>
        <v>8.1028404506797894E-2</v>
      </c>
      <c r="F91" s="13">
        <f t="shared" si="75"/>
        <v>33.526427854625915</v>
      </c>
      <c r="G91" s="13">
        <f t="shared" si="76"/>
        <v>9.5028404506824413E-2</v>
      </c>
      <c r="H91" s="13">
        <f t="shared" si="77"/>
        <v>33.514121132787956</v>
      </c>
      <c r="I91" s="13">
        <f t="shared" si="78"/>
        <v>0.14732437183054162</v>
      </c>
      <c r="J91" s="14">
        <f t="shared" si="81"/>
        <v>5.92639554269907E-2</v>
      </c>
    </row>
    <row r="92" spans="1:10" ht="16.5" x14ac:dyDescent="0.35">
      <c r="A92" s="10">
        <f t="shared" si="72"/>
        <v>91</v>
      </c>
      <c r="B92" s="1">
        <v>33.304687999999999</v>
      </c>
      <c r="C92" s="12">
        <f t="shared" ref="C92:D92" si="103">C91</f>
        <v>0.55000000000000004</v>
      </c>
      <c r="D92" s="12">
        <f t="shared" si="103"/>
        <v>1.4E-2</v>
      </c>
      <c r="E92" s="13">
        <f t="shared" si="74"/>
        <v>8.1028404506778617E-2</v>
      </c>
      <c r="F92" s="13">
        <f t="shared" si="75"/>
        <v>33.493760169833365</v>
      </c>
      <c r="G92" s="13">
        <f t="shared" si="76"/>
        <v>9.5028404506797892E-2</v>
      </c>
      <c r="H92" s="13">
        <f t="shared" si="77"/>
        <v>33.526427854625915</v>
      </c>
      <c r="I92" s="13">
        <f t="shared" si="78"/>
        <v>0.14732437183050653</v>
      </c>
      <c r="J92" s="14">
        <f t="shared" si="81"/>
        <v>5.6811661202647822E-2</v>
      </c>
    </row>
    <row r="93" spans="1:10" ht="16.5" x14ac:dyDescent="0.35">
      <c r="A93" s="10">
        <f t="shared" si="72"/>
        <v>92</v>
      </c>
      <c r="B93" s="1">
        <v>33.011718999999999</v>
      </c>
      <c r="C93" s="12">
        <f t="shared" ref="C93:D93" si="104">C92</f>
        <v>0.55000000000000004</v>
      </c>
      <c r="D93" s="12">
        <f t="shared" si="104"/>
        <v>1.4E-2</v>
      </c>
      <c r="E93" s="13">
        <f t="shared" si="74"/>
        <v>8.1028404506764601E-2</v>
      </c>
      <c r="F93" s="13">
        <f t="shared" si="75"/>
        <v>33.422743757291236</v>
      </c>
      <c r="G93" s="13">
        <f t="shared" si="76"/>
        <v>9.5028404506778616E-2</v>
      </c>
      <c r="H93" s="13">
        <f t="shared" si="77"/>
        <v>33.493760169833365</v>
      </c>
      <c r="I93" s="13">
        <f t="shared" si="78"/>
        <v>0.14732437183048108</v>
      </c>
      <c r="J93" s="14">
        <f t="shared" si="81"/>
        <v>9.8500902971633414E-2</v>
      </c>
    </row>
    <row r="94" spans="1:10" ht="16.5" x14ac:dyDescent="0.35">
      <c r="A94" s="10">
        <f t="shared" si="72"/>
        <v>93</v>
      </c>
      <c r="B94" s="1">
        <v>33.597656000000001</v>
      </c>
      <c r="C94" s="12">
        <f t="shared" ref="C94:D94" si="105">C93</f>
        <v>0.55000000000000004</v>
      </c>
      <c r="D94" s="12">
        <f t="shared" si="105"/>
        <v>1.4E-2</v>
      </c>
      <c r="E94" s="13">
        <f t="shared" si="74"/>
        <v>8.1028404506754415E-2</v>
      </c>
      <c r="F94" s="13">
        <f t="shared" si="75"/>
        <v>33.44851259357376</v>
      </c>
      <c r="G94" s="13">
        <f t="shared" si="76"/>
        <v>9.5028404506764599E-2</v>
      </c>
      <c r="H94" s="13">
        <f t="shared" si="77"/>
        <v>33.422743757291236</v>
      </c>
      <c r="I94" s="13">
        <f t="shared" si="78"/>
        <v>0.14732437183046254</v>
      </c>
      <c r="J94" s="14">
        <f t="shared" si="81"/>
        <v>0.1365116803851476</v>
      </c>
    </row>
    <row r="95" spans="1:10" ht="16.5" x14ac:dyDescent="0.35">
      <c r="A95" s="10">
        <f t="shared" si="72"/>
        <v>94</v>
      </c>
      <c r="B95" s="1">
        <v>33.304687999999999</v>
      </c>
      <c r="C95" s="12">
        <f t="shared" ref="C95:D95" si="106">C94</f>
        <v>0.55000000000000004</v>
      </c>
      <c r="D95" s="12">
        <f t="shared" si="106"/>
        <v>1.4E-2</v>
      </c>
      <c r="E95" s="13">
        <f t="shared" si="74"/>
        <v>8.1028404506747004E-2</v>
      </c>
      <c r="F95" s="13">
        <f t="shared" si="75"/>
        <v>33.427323725671734</v>
      </c>
      <c r="G95" s="13">
        <f t="shared" si="76"/>
        <v>9.5028404506754413E-2</v>
      </c>
      <c r="H95" s="13">
        <f t="shared" si="77"/>
        <v>33.44851259357376</v>
      </c>
      <c r="I95" s="13">
        <f t="shared" si="78"/>
        <v>0.14732437183044908</v>
      </c>
      <c r="J95" s="14">
        <f t="shared" si="81"/>
        <v>0.13651168038514755</v>
      </c>
    </row>
    <row r="96" spans="1:10" ht="16.5" x14ac:dyDescent="0.35">
      <c r="A96" s="10">
        <f t="shared" si="72"/>
        <v>95</v>
      </c>
      <c r="B96" s="1">
        <v>33.597656000000001</v>
      </c>
      <c r="C96" s="12">
        <f t="shared" ref="C96:D96" si="107">C95</f>
        <v>0.55000000000000004</v>
      </c>
      <c r="D96" s="12">
        <f t="shared" si="107"/>
        <v>1.4E-2</v>
      </c>
      <c r="E96" s="13">
        <f t="shared" si="74"/>
        <v>8.1028404506741605E-2</v>
      </c>
      <c r="F96" s="13">
        <f t="shared" si="75"/>
        <v>33.452417820989595</v>
      </c>
      <c r="G96" s="13">
        <f t="shared" si="76"/>
        <v>9.5028404506747002E-2</v>
      </c>
      <c r="H96" s="13">
        <f t="shared" si="77"/>
        <v>33.427323725671734</v>
      </c>
      <c r="I96" s="13">
        <f t="shared" si="78"/>
        <v>0.14732437183043928</v>
      </c>
      <c r="J96" s="14">
        <f t="shared" si="81"/>
        <v>0.14999936070042852</v>
      </c>
    </row>
    <row r="97" spans="1:10" ht="16.5" x14ac:dyDescent="0.35">
      <c r="A97" s="10">
        <f t="shared" si="72"/>
        <v>96</v>
      </c>
      <c r="B97" s="1">
        <v>33.597656000000001</v>
      </c>
      <c r="C97" s="12">
        <f t="shared" ref="C97:D97" si="108">C96</f>
        <v>0.55000000000000004</v>
      </c>
      <c r="D97" s="12">
        <f t="shared" si="108"/>
        <v>1.4E-2</v>
      </c>
      <c r="E97" s="13">
        <f t="shared" si="74"/>
        <v>8.1028404506737678E-2</v>
      </c>
      <c r="F97" s="13">
        <f t="shared" si="75"/>
        <v>33.4738149444781</v>
      </c>
      <c r="G97" s="13">
        <f t="shared" si="76"/>
        <v>9.5028404506741604E-2</v>
      </c>
      <c r="H97" s="13">
        <f t="shared" si="77"/>
        <v>33.452417820989595</v>
      </c>
      <c r="I97" s="13">
        <f t="shared" si="78"/>
        <v>0.14732437183043218</v>
      </c>
      <c r="J97" s="14">
        <f t="shared" si="81"/>
        <v>0.14509477922721414</v>
      </c>
    </row>
    <row r="98" spans="1:10" ht="16.5" x14ac:dyDescent="0.35">
      <c r="A98" s="10">
        <f t="shared" si="72"/>
        <v>97</v>
      </c>
      <c r="B98" s="1">
        <v>33.597656000000001</v>
      </c>
      <c r="C98" s="12">
        <f t="shared" ref="C98:D98" si="109">C97</f>
        <v>0.55000000000000004</v>
      </c>
      <c r="D98" s="12">
        <f t="shared" si="109"/>
        <v>1.4E-2</v>
      </c>
      <c r="E98" s="13">
        <f t="shared" si="74"/>
        <v>8.1028404506734833E-2</v>
      </c>
      <c r="F98" s="13">
        <f t="shared" si="75"/>
        <v>33.492059750189682</v>
      </c>
      <c r="G98" s="13">
        <f t="shared" si="76"/>
        <v>9.5028404506737676E-2</v>
      </c>
      <c r="H98" s="13">
        <f t="shared" si="77"/>
        <v>33.4738149444781</v>
      </c>
      <c r="I98" s="13">
        <f t="shared" si="78"/>
        <v>0.14732437183042696</v>
      </c>
      <c r="J98" s="14">
        <f t="shared" si="81"/>
        <v>0.14713836495544752</v>
      </c>
    </row>
    <row r="99" spans="1:10" ht="16.5" x14ac:dyDescent="0.35">
      <c r="A99" s="10">
        <f t="shared" si="72"/>
        <v>98</v>
      </c>
      <c r="B99" s="1">
        <v>33.597656000000001</v>
      </c>
      <c r="C99" s="12">
        <f t="shared" ref="C99:D99" si="110">C98</f>
        <v>0.55000000000000004</v>
      </c>
      <c r="D99" s="12">
        <f t="shared" si="110"/>
        <v>1.4E-2</v>
      </c>
      <c r="E99" s="13">
        <f t="shared" si="74"/>
        <v>8.1028404506732779E-2</v>
      </c>
      <c r="F99" s="13">
        <f t="shared" si="75"/>
        <v>33.507616651360635</v>
      </c>
      <c r="G99" s="13">
        <f t="shared" si="76"/>
        <v>9.5028404506734832E-2</v>
      </c>
      <c r="H99" s="13">
        <f t="shared" si="77"/>
        <v>33.492059750189682</v>
      </c>
      <c r="I99" s="13">
        <f t="shared" si="78"/>
        <v>0.14732437183042318</v>
      </c>
      <c r="J99" s="14">
        <f t="shared" si="81"/>
        <v>0.14019018798836175</v>
      </c>
    </row>
    <row r="100" spans="1:10" ht="16.5" x14ac:dyDescent="0.35">
      <c r="A100" s="10">
        <f t="shared" si="72"/>
        <v>99</v>
      </c>
      <c r="B100" s="1">
        <v>33.597656000000001</v>
      </c>
      <c r="C100" s="12">
        <f t="shared" ref="C100:D100" si="111">C99</f>
        <v>0.55000000000000004</v>
      </c>
      <c r="D100" s="12">
        <f t="shared" si="111"/>
        <v>1.4E-2</v>
      </c>
      <c r="E100" s="13">
        <f t="shared" si="74"/>
        <v>8.102840450673128E-2</v>
      </c>
      <c r="F100" s="13">
        <f t="shared" si="75"/>
        <v>33.520881641838947</v>
      </c>
      <c r="G100" s="13">
        <f t="shared" si="76"/>
        <v>9.5028404506732778E-2</v>
      </c>
      <c r="H100" s="13">
        <f t="shared" si="77"/>
        <v>33.507616651360635</v>
      </c>
      <c r="I100" s="13">
        <f t="shared" si="78"/>
        <v>0.14732437183042049</v>
      </c>
      <c r="J100" s="14">
        <f t="shared" si="81"/>
        <v>0.14019018798836175</v>
      </c>
    </row>
    <row r="101" spans="1:10" ht="16.5" x14ac:dyDescent="0.35">
      <c r="A101" s="10">
        <f t="shared" si="72"/>
        <v>100</v>
      </c>
      <c r="B101" s="1">
        <v>33.890625</v>
      </c>
      <c r="C101" s="12">
        <f t="shared" ref="C101:D101" si="112">C100</f>
        <v>0.55000000000000004</v>
      </c>
      <c r="D101" s="12">
        <f t="shared" si="112"/>
        <v>1.4E-2</v>
      </c>
      <c r="E101" s="13">
        <f t="shared" ref="E101:E164" si="113">(1-I101)*G101</f>
        <v>8.1028404506730184E-2</v>
      </c>
      <c r="F101" s="13">
        <f t="shared" ref="F101:F164" si="114">H101+I101*(B101-H101)</f>
        <v>33.575353849818491</v>
      </c>
      <c r="G101" s="13">
        <f t="shared" ref="G101:G164" si="115">E100+D100</f>
        <v>9.5028404506731279E-2</v>
      </c>
      <c r="H101" s="13">
        <f t="shared" ref="H101:H164" si="116">F100</f>
        <v>33.520881641838947</v>
      </c>
      <c r="I101" s="13">
        <f t="shared" ref="I101:I164" si="117">G101/(G101+C101)</f>
        <v>0.14732437183041849</v>
      </c>
      <c r="J101" s="14">
        <f t="shared" si="81"/>
        <v>0.14019018798836172</v>
      </c>
    </row>
    <row r="102" spans="1:10" ht="16.5" x14ac:dyDescent="0.35">
      <c r="A102" s="10">
        <f t="shared" si="72"/>
        <v>101</v>
      </c>
      <c r="B102" s="1">
        <v>33.304687999999999</v>
      </c>
      <c r="C102" s="12">
        <f t="shared" ref="C102:D102" si="118">C101</f>
        <v>0.55000000000000004</v>
      </c>
      <c r="D102" s="12">
        <f t="shared" si="118"/>
        <v>1.4E-2</v>
      </c>
      <c r="E102" s="13">
        <f t="shared" si="113"/>
        <v>8.1028404506729393E-2</v>
      </c>
      <c r="F102" s="13">
        <f t="shared" si="114"/>
        <v>33.535478173518037</v>
      </c>
      <c r="G102" s="13">
        <f t="shared" si="115"/>
        <v>9.5028404506730182E-2</v>
      </c>
      <c r="H102" s="13">
        <f t="shared" si="116"/>
        <v>33.575353849818491</v>
      </c>
      <c r="I102" s="13">
        <f t="shared" si="117"/>
        <v>0.14732437183041705</v>
      </c>
      <c r="J102" s="14">
        <f t="shared" si="81"/>
        <v>0.14019018798836169</v>
      </c>
    </row>
    <row r="103" spans="1:10" ht="16.5" x14ac:dyDescent="0.35">
      <c r="A103" s="10">
        <f t="shared" si="72"/>
        <v>102</v>
      </c>
      <c r="B103" s="1">
        <v>33.890625</v>
      </c>
      <c r="C103" s="12">
        <f t="shared" ref="C103:D103" si="119">C102</f>
        <v>0.55000000000000004</v>
      </c>
      <c r="D103" s="12">
        <f t="shared" si="119"/>
        <v>1.4E-2</v>
      </c>
      <c r="E103" s="13">
        <f t="shared" si="113"/>
        <v>8.102840450672881E-2</v>
      </c>
      <c r="F103" s="13">
        <f t="shared" si="114"/>
        <v>33.587799956637056</v>
      </c>
      <c r="G103" s="13">
        <f t="shared" si="115"/>
        <v>9.5028404506729391E-2</v>
      </c>
      <c r="H103" s="13">
        <f t="shared" si="116"/>
        <v>33.535478173518037</v>
      </c>
      <c r="I103" s="13">
        <f t="shared" si="117"/>
        <v>0.14732437183041602</v>
      </c>
      <c r="J103" s="14">
        <f t="shared" si="81"/>
        <v>0.14019018798836169</v>
      </c>
    </row>
    <row r="104" spans="1:10" ht="16.5" x14ac:dyDescent="0.35">
      <c r="A104" s="10">
        <f t="shared" si="72"/>
        <v>103</v>
      </c>
      <c r="B104" s="1">
        <v>33.890625</v>
      </c>
      <c r="C104" s="12">
        <f t="shared" ref="C104:D104" si="120">C103</f>
        <v>0.55000000000000004</v>
      </c>
      <c r="D104" s="12">
        <f t="shared" si="120"/>
        <v>1.4E-2</v>
      </c>
      <c r="E104" s="13">
        <f t="shared" si="113"/>
        <v>8.102840450672838E-2</v>
      </c>
      <c r="F104" s="13">
        <f t="shared" si="114"/>
        <v>33.632413465925019</v>
      </c>
      <c r="G104" s="13">
        <f t="shared" si="115"/>
        <v>9.5028404506728809E-2</v>
      </c>
      <c r="H104" s="13">
        <f t="shared" si="116"/>
        <v>33.587799956637056</v>
      </c>
      <c r="I104" s="13">
        <f t="shared" si="117"/>
        <v>0.14732437183041525</v>
      </c>
      <c r="J104" s="14">
        <f t="shared" si="81"/>
        <v>0.14019018798836169</v>
      </c>
    </row>
    <row r="105" spans="1:10" ht="16.5" x14ac:dyDescent="0.35">
      <c r="A105" s="10">
        <f t="shared" si="72"/>
        <v>104</v>
      </c>
      <c r="B105" s="1">
        <v>33.597656000000001</v>
      </c>
      <c r="C105" s="12">
        <f t="shared" ref="C105:D105" si="121">C104</f>
        <v>0.55000000000000004</v>
      </c>
      <c r="D105" s="12">
        <f t="shared" si="121"/>
        <v>1.4E-2</v>
      </c>
      <c r="E105" s="13">
        <f t="shared" si="113"/>
        <v>8.1028404506728074E-2</v>
      </c>
      <c r="F105" s="13">
        <f t="shared" si="114"/>
        <v>33.627292844091201</v>
      </c>
      <c r="G105" s="13">
        <f t="shared" si="115"/>
        <v>9.5028404506728378E-2</v>
      </c>
      <c r="H105" s="13">
        <f t="shared" si="116"/>
        <v>33.632413465925019</v>
      </c>
      <c r="I105" s="13">
        <f t="shared" si="117"/>
        <v>0.14732437183041469</v>
      </c>
      <c r="J105" s="14">
        <f t="shared" si="81"/>
        <v>0.13855531912675692</v>
      </c>
    </row>
    <row r="106" spans="1:10" ht="16.5" x14ac:dyDescent="0.35">
      <c r="A106" s="10">
        <f t="shared" si="72"/>
        <v>105</v>
      </c>
      <c r="B106" s="1">
        <v>33.011718999999999</v>
      </c>
      <c r="C106" s="12">
        <f t="shared" ref="C106:D106" si="122">C105</f>
        <v>0.55000000000000004</v>
      </c>
      <c r="D106" s="12">
        <f t="shared" si="122"/>
        <v>1.4E-2</v>
      </c>
      <c r="E106" s="13">
        <f t="shared" si="113"/>
        <v>8.1028404506727852E-2</v>
      </c>
      <c r="F106" s="13">
        <f t="shared" si="114"/>
        <v>33.536603814195232</v>
      </c>
      <c r="G106" s="13">
        <f t="shared" si="115"/>
        <v>9.5028404506728073E-2</v>
      </c>
      <c r="H106" s="13">
        <f t="shared" si="116"/>
        <v>33.627292844091201</v>
      </c>
      <c r="I106" s="13">
        <f t="shared" si="117"/>
        <v>0.14732437183041425</v>
      </c>
      <c r="J106" s="14">
        <f t="shared" si="81"/>
        <v>0.14223381277909014</v>
      </c>
    </row>
    <row r="107" spans="1:10" ht="16.5" x14ac:dyDescent="0.35">
      <c r="A107" s="10">
        <f t="shared" si="72"/>
        <v>106</v>
      </c>
      <c r="B107" s="1">
        <v>33.597656000000001</v>
      </c>
      <c r="C107" s="12">
        <f t="shared" ref="C107:D107" si="123">C106</f>
        <v>0.55000000000000004</v>
      </c>
      <c r="D107" s="12">
        <f t="shared" si="123"/>
        <v>1.4E-2</v>
      </c>
      <c r="E107" s="13">
        <f t="shared" si="113"/>
        <v>8.1028404506727686E-2</v>
      </c>
      <c r="F107" s="13">
        <f t="shared" si="114"/>
        <v>33.545598289117791</v>
      </c>
      <c r="G107" s="13">
        <f t="shared" si="115"/>
        <v>9.5028404506727851E-2</v>
      </c>
      <c r="H107" s="13">
        <f t="shared" si="116"/>
        <v>33.536603814195232</v>
      </c>
      <c r="I107" s="13">
        <f t="shared" si="117"/>
        <v>0.14732437183041397</v>
      </c>
      <c r="J107" s="14">
        <f t="shared" si="81"/>
        <v>0.14141637904583301</v>
      </c>
    </row>
    <row r="108" spans="1:10" ht="16.5" x14ac:dyDescent="0.35">
      <c r="A108" s="10">
        <f t="shared" si="72"/>
        <v>107</v>
      </c>
      <c r="B108" s="1">
        <v>33.597656000000001</v>
      </c>
      <c r="C108" s="12">
        <f t="shared" ref="C108:D108" si="124">C107</f>
        <v>0.55000000000000004</v>
      </c>
      <c r="D108" s="12">
        <f t="shared" si="124"/>
        <v>1.4E-2</v>
      </c>
      <c r="E108" s="13">
        <f t="shared" si="113"/>
        <v>8.1028404506727561E-2</v>
      </c>
      <c r="F108" s="13">
        <f t="shared" si="114"/>
        <v>33.553267658672439</v>
      </c>
      <c r="G108" s="13">
        <f t="shared" si="115"/>
        <v>9.5028404506727684E-2</v>
      </c>
      <c r="H108" s="13">
        <f t="shared" si="116"/>
        <v>33.545598289117791</v>
      </c>
      <c r="I108" s="13">
        <f t="shared" si="117"/>
        <v>0.14732437183041375</v>
      </c>
      <c r="J108" s="14">
        <f t="shared" si="81"/>
        <v>0.15081689627519013</v>
      </c>
    </row>
    <row r="109" spans="1:10" ht="16.5" x14ac:dyDescent="0.35">
      <c r="A109" s="10">
        <f t="shared" si="72"/>
        <v>108</v>
      </c>
      <c r="B109" s="1">
        <v>33.597656000000001</v>
      </c>
      <c r="C109" s="12">
        <f t="shared" ref="C109:D109" si="125">C108</f>
        <v>0.55000000000000004</v>
      </c>
      <c r="D109" s="12">
        <f t="shared" si="125"/>
        <v>1.4E-2</v>
      </c>
      <c r="E109" s="13">
        <f t="shared" si="113"/>
        <v>8.1028404506727478E-2</v>
      </c>
      <c r="F109" s="13">
        <f t="shared" si="114"/>
        <v>33.559807143175114</v>
      </c>
      <c r="G109" s="13">
        <f t="shared" si="115"/>
        <v>9.502840450672756E-2</v>
      </c>
      <c r="H109" s="13">
        <f t="shared" si="116"/>
        <v>33.553267658672439</v>
      </c>
      <c r="I109" s="13">
        <f t="shared" si="117"/>
        <v>0.14732437183041358</v>
      </c>
      <c r="J109" s="14">
        <f t="shared" si="81"/>
        <v>0.15081689627519013</v>
      </c>
    </row>
    <row r="110" spans="1:10" ht="16.5" x14ac:dyDescent="0.35">
      <c r="A110" s="10">
        <f t="shared" si="72"/>
        <v>109</v>
      </c>
      <c r="B110" s="1">
        <v>34.476562999999999</v>
      </c>
      <c r="C110" s="12">
        <f t="shared" ref="C110:D110" si="126">C109</f>
        <v>0.55000000000000004</v>
      </c>
      <c r="D110" s="12">
        <f t="shared" si="126"/>
        <v>1.4E-2</v>
      </c>
      <c r="E110" s="13">
        <f t="shared" si="113"/>
        <v>8.1028404506727422E-2</v>
      </c>
      <c r="F110" s="13">
        <f t="shared" si="114"/>
        <v>33.69486762390369</v>
      </c>
      <c r="G110" s="13">
        <f t="shared" si="115"/>
        <v>9.5028404506727476E-2</v>
      </c>
      <c r="H110" s="13">
        <f t="shared" si="116"/>
        <v>33.559807143175114</v>
      </c>
      <c r="I110" s="13">
        <f t="shared" si="117"/>
        <v>0.14732437183041347</v>
      </c>
      <c r="J110" s="14">
        <f t="shared" si="81"/>
        <v>0.12506771275119016</v>
      </c>
    </row>
    <row r="111" spans="1:10" ht="16.5" x14ac:dyDescent="0.35">
      <c r="A111" s="10">
        <f t="shared" si="72"/>
        <v>110</v>
      </c>
      <c r="B111" s="1">
        <v>34.476562999999999</v>
      </c>
      <c r="C111" s="12">
        <f t="shared" ref="C111:D111" si="127">C110</f>
        <v>0.55000000000000004</v>
      </c>
      <c r="D111" s="12">
        <f t="shared" si="127"/>
        <v>1.4E-2</v>
      </c>
      <c r="E111" s="13">
        <f t="shared" si="113"/>
        <v>8.1028404506727381E-2</v>
      </c>
      <c r="F111" s="13">
        <f t="shared" si="114"/>
        <v>33.810030404149821</v>
      </c>
      <c r="G111" s="13">
        <f t="shared" si="115"/>
        <v>9.5028404506727421E-2</v>
      </c>
      <c r="H111" s="13">
        <f t="shared" si="116"/>
        <v>33.69486762390369</v>
      </c>
      <c r="I111" s="13">
        <f t="shared" si="117"/>
        <v>0.14732437183041339</v>
      </c>
      <c r="J111" s="14">
        <f t="shared" si="81"/>
        <v>0.12425027483266157</v>
      </c>
    </row>
    <row r="112" spans="1:10" ht="16.5" x14ac:dyDescent="0.35">
      <c r="A112" s="10">
        <f t="shared" si="72"/>
        <v>111</v>
      </c>
      <c r="B112" s="1">
        <v>33.597656000000001</v>
      </c>
      <c r="C112" s="12">
        <f t="shared" ref="C112:D112" si="128">C111</f>
        <v>0.55000000000000004</v>
      </c>
      <c r="D112" s="12">
        <f t="shared" si="128"/>
        <v>1.4E-2</v>
      </c>
      <c r="E112" s="13">
        <f t="shared" si="113"/>
        <v>8.1028404506727353E-2</v>
      </c>
      <c r="F112" s="13">
        <f t="shared" si="114"/>
        <v>33.778742478465588</v>
      </c>
      <c r="G112" s="13">
        <f t="shared" si="115"/>
        <v>9.5028404506727379E-2</v>
      </c>
      <c r="H112" s="13">
        <f t="shared" si="116"/>
        <v>33.810030404149821</v>
      </c>
      <c r="I112" s="13">
        <f t="shared" si="117"/>
        <v>0.14732437183041336</v>
      </c>
      <c r="J112" s="14">
        <f t="shared" si="81"/>
        <v>0.12997232770654718</v>
      </c>
    </row>
    <row r="113" spans="1:10" ht="16.5" x14ac:dyDescent="0.35">
      <c r="A113" s="10">
        <f t="shared" si="72"/>
        <v>112</v>
      </c>
      <c r="B113" s="1">
        <v>33.011718999999999</v>
      </c>
      <c r="C113" s="12">
        <f t="shared" ref="C113:D113" si="129">C112</f>
        <v>0.55000000000000004</v>
      </c>
      <c r="D113" s="12">
        <f t="shared" si="129"/>
        <v>1.4E-2</v>
      </c>
      <c r="E113" s="13">
        <f t="shared" si="113"/>
        <v>8.1028404506727325E-2</v>
      </c>
      <c r="F113" s="13">
        <f t="shared" si="114"/>
        <v>33.665741226321465</v>
      </c>
      <c r="G113" s="13">
        <f t="shared" si="115"/>
        <v>9.5028404506727351E-2</v>
      </c>
      <c r="H113" s="13">
        <f t="shared" si="116"/>
        <v>33.778742478465588</v>
      </c>
      <c r="I113" s="13">
        <f t="shared" si="117"/>
        <v>0.1473243718304133</v>
      </c>
      <c r="J113" s="14">
        <f t="shared" si="81"/>
        <v>0.1340595075335568</v>
      </c>
    </row>
    <row r="114" spans="1:10" ht="16.5" x14ac:dyDescent="0.35">
      <c r="A114" s="10">
        <f t="shared" si="72"/>
        <v>113</v>
      </c>
      <c r="B114" s="1">
        <v>34.183593999999999</v>
      </c>
      <c r="C114" s="12">
        <f t="shared" ref="C114:D114" si="130">C113</f>
        <v>0.55000000000000004</v>
      </c>
      <c r="D114" s="12">
        <f t="shared" si="130"/>
        <v>1.4E-2</v>
      </c>
      <c r="E114" s="13">
        <f t="shared" si="113"/>
        <v>8.1028404506727311E-2</v>
      </c>
      <c r="F114" s="13">
        <f t="shared" si="114"/>
        <v>33.742033560904289</v>
      </c>
      <c r="G114" s="13">
        <f t="shared" si="115"/>
        <v>9.5028404506727324E-2</v>
      </c>
      <c r="H114" s="13">
        <f t="shared" si="116"/>
        <v>33.665741226321465</v>
      </c>
      <c r="I114" s="13">
        <f t="shared" si="117"/>
        <v>0.14732437183041328</v>
      </c>
      <c r="J114" s="14">
        <f t="shared" si="81"/>
        <v>0.13405950753355675</v>
      </c>
    </row>
    <row r="115" spans="1:10" ht="16.5" x14ac:dyDescent="0.35">
      <c r="A115" s="10">
        <f t="shared" si="72"/>
        <v>114</v>
      </c>
      <c r="B115" s="1">
        <v>33.890625</v>
      </c>
      <c r="C115" s="12">
        <f t="shared" ref="C115:D115" si="131">C114</f>
        <v>0.55000000000000004</v>
      </c>
      <c r="D115" s="12">
        <f t="shared" si="131"/>
        <v>1.4E-2</v>
      </c>
      <c r="E115" s="13">
        <f t="shared" si="113"/>
        <v>8.1028404506727297E-2</v>
      </c>
      <c r="F115" s="13">
        <f t="shared" si="114"/>
        <v>33.763924701328442</v>
      </c>
      <c r="G115" s="13">
        <f t="shared" si="115"/>
        <v>9.502840450672731E-2</v>
      </c>
      <c r="H115" s="13">
        <f t="shared" si="116"/>
        <v>33.742033560904289</v>
      </c>
      <c r="I115" s="13">
        <f t="shared" si="117"/>
        <v>0.14732437183041325</v>
      </c>
      <c r="J115" s="14">
        <f t="shared" si="81"/>
        <v>0.11444103515631401</v>
      </c>
    </row>
    <row r="116" spans="1:10" ht="16.5" x14ac:dyDescent="0.35">
      <c r="A116" s="10">
        <f t="shared" si="72"/>
        <v>115</v>
      </c>
      <c r="B116" s="1">
        <v>33.597656000000001</v>
      </c>
      <c r="C116" s="12">
        <f t="shared" ref="C116:D116" si="132">C115</f>
        <v>0.55000000000000004</v>
      </c>
      <c r="D116" s="12">
        <f t="shared" si="132"/>
        <v>1.4E-2</v>
      </c>
      <c r="E116" s="13">
        <f t="shared" si="113"/>
        <v>8.1028404506727283E-2</v>
      </c>
      <c r="F116" s="13">
        <f t="shared" si="114"/>
        <v>33.739429269350168</v>
      </c>
      <c r="G116" s="13">
        <f t="shared" si="115"/>
        <v>9.5028404506727296E-2</v>
      </c>
      <c r="H116" s="13">
        <f t="shared" si="116"/>
        <v>33.763924701328442</v>
      </c>
      <c r="I116" s="13">
        <f t="shared" si="117"/>
        <v>0.14732437183041322</v>
      </c>
      <c r="J116" s="14">
        <f t="shared" si="81"/>
        <v>0.13405950753355675</v>
      </c>
    </row>
    <row r="117" spans="1:10" ht="16.5" x14ac:dyDescent="0.35">
      <c r="A117" s="10">
        <f t="shared" si="72"/>
        <v>116</v>
      </c>
      <c r="B117" s="1">
        <v>33.597656000000001</v>
      </c>
      <c r="C117" s="12">
        <f t="shared" ref="C117:D117" si="133">C116</f>
        <v>0.55000000000000004</v>
      </c>
      <c r="D117" s="12">
        <f t="shared" si="133"/>
        <v>1.4E-2</v>
      </c>
      <c r="E117" s="13">
        <f t="shared" si="113"/>
        <v>8.1028404506727283E-2</v>
      </c>
      <c r="F117" s="13">
        <f t="shared" si="114"/>
        <v>33.718542611500808</v>
      </c>
      <c r="G117" s="13">
        <f t="shared" si="115"/>
        <v>9.5028404506727282E-2</v>
      </c>
      <c r="H117" s="13">
        <f t="shared" si="116"/>
        <v>33.739429269350168</v>
      </c>
      <c r="I117" s="13">
        <f t="shared" si="117"/>
        <v>0.14732437183041319</v>
      </c>
      <c r="J117" s="14">
        <f t="shared" si="81"/>
        <v>9.8501101074290054E-2</v>
      </c>
    </row>
    <row r="118" spans="1:10" ht="16.5" x14ac:dyDescent="0.35">
      <c r="A118" s="10">
        <f t="shared" si="72"/>
        <v>117</v>
      </c>
      <c r="B118" s="1">
        <v>33.597656000000001</v>
      </c>
      <c r="C118" s="12">
        <f t="shared" ref="C118:D118" si="134">C117</f>
        <v>0.55000000000000004</v>
      </c>
      <c r="D118" s="12">
        <f t="shared" si="134"/>
        <v>1.4E-2</v>
      </c>
      <c r="E118" s="13">
        <f t="shared" si="113"/>
        <v>8.1028404506727283E-2</v>
      </c>
      <c r="F118" s="13">
        <f t="shared" si="114"/>
        <v>33.700733067398744</v>
      </c>
      <c r="G118" s="13">
        <f t="shared" si="115"/>
        <v>9.5028404506727282E-2</v>
      </c>
      <c r="H118" s="13">
        <f t="shared" si="116"/>
        <v>33.718542611500808</v>
      </c>
      <c r="I118" s="13">
        <f t="shared" si="117"/>
        <v>0.14732437183041319</v>
      </c>
      <c r="J118" s="14">
        <f t="shared" si="81"/>
        <v>9.6866228027413875E-2</v>
      </c>
    </row>
    <row r="119" spans="1:10" ht="16.5" x14ac:dyDescent="0.35">
      <c r="A119" s="10">
        <f t="shared" si="72"/>
        <v>118</v>
      </c>
      <c r="B119" s="1">
        <v>33.597656000000001</v>
      </c>
      <c r="C119" s="12">
        <f t="shared" ref="C119:D119" si="135">C118</f>
        <v>0.55000000000000004</v>
      </c>
      <c r="D119" s="12">
        <f t="shared" si="135"/>
        <v>1.4E-2</v>
      </c>
      <c r="E119" s="13">
        <f t="shared" si="113"/>
        <v>8.1028404506727283E-2</v>
      </c>
      <c r="F119" s="13">
        <f t="shared" si="114"/>
        <v>33.685547303194106</v>
      </c>
      <c r="G119" s="13">
        <f t="shared" si="115"/>
        <v>9.5028404506727282E-2</v>
      </c>
      <c r="H119" s="13">
        <f t="shared" si="116"/>
        <v>33.700733067398744</v>
      </c>
      <c r="I119" s="13">
        <f t="shared" si="117"/>
        <v>0.14732437183041319</v>
      </c>
      <c r="J119" s="14">
        <f t="shared" si="81"/>
        <v>9.6866228027413875E-2</v>
      </c>
    </row>
    <row r="120" spans="1:10" ht="16.5" x14ac:dyDescent="0.35">
      <c r="A120" s="10">
        <f t="shared" si="72"/>
        <v>119</v>
      </c>
      <c r="B120" s="1">
        <v>33.597656000000001</v>
      </c>
      <c r="C120" s="12">
        <f t="shared" ref="C120:D120" si="136">C119</f>
        <v>0.55000000000000004</v>
      </c>
      <c r="D120" s="12">
        <f t="shared" si="136"/>
        <v>1.4E-2</v>
      </c>
      <c r="E120" s="13">
        <f t="shared" si="113"/>
        <v>8.1028404506727283E-2</v>
      </c>
      <c r="F120" s="13">
        <f t="shared" si="114"/>
        <v>33.672598772161678</v>
      </c>
      <c r="G120" s="13">
        <f t="shared" si="115"/>
        <v>9.5028404506727282E-2</v>
      </c>
      <c r="H120" s="13">
        <f t="shared" si="116"/>
        <v>33.685547303194106</v>
      </c>
      <c r="I120" s="13">
        <f t="shared" si="117"/>
        <v>0.14732437183041319</v>
      </c>
      <c r="J120" s="14">
        <f t="shared" si="81"/>
        <v>9.6866228027413875E-2</v>
      </c>
    </row>
    <row r="121" spans="1:10" ht="16.5" x14ac:dyDescent="0.35">
      <c r="A121" s="10">
        <f t="shared" si="72"/>
        <v>120</v>
      </c>
      <c r="B121" s="1">
        <v>33.597656000000001</v>
      </c>
      <c r="C121" s="12">
        <f t="shared" ref="C121:D121" si="137">C120</f>
        <v>0.55000000000000004</v>
      </c>
      <c r="D121" s="12">
        <f t="shared" si="137"/>
        <v>1.4E-2</v>
      </c>
      <c r="E121" s="13">
        <f t="shared" si="113"/>
        <v>8.1028404506727283E-2</v>
      </c>
      <c r="F121" s="13">
        <f t="shared" si="114"/>
        <v>33.661557875329727</v>
      </c>
      <c r="G121" s="13">
        <f t="shared" si="115"/>
        <v>9.5028404506727282E-2</v>
      </c>
      <c r="H121" s="13">
        <f t="shared" si="116"/>
        <v>33.672598772161678</v>
      </c>
      <c r="I121" s="13">
        <f t="shared" si="117"/>
        <v>0.14732437183041319</v>
      </c>
      <c r="J121" s="14">
        <f t="shared" si="81"/>
        <v>9.6866228027413875E-2</v>
      </c>
    </row>
    <row r="122" spans="1:10" ht="16.5" x14ac:dyDescent="0.35">
      <c r="A122" s="10">
        <f t="shared" si="72"/>
        <v>121</v>
      </c>
      <c r="B122" s="1">
        <v>33.597656000000001</v>
      </c>
      <c r="C122" s="12">
        <f t="shared" ref="C122:D122" si="138">C121</f>
        <v>0.55000000000000004</v>
      </c>
      <c r="D122" s="12">
        <f t="shared" si="138"/>
        <v>1.4E-2</v>
      </c>
      <c r="E122" s="13">
        <f t="shared" si="113"/>
        <v>8.1028404506727283E-2</v>
      </c>
      <c r="F122" s="13">
        <f t="shared" si="114"/>
        <v>33.652143571687986</v>
      </c>
      <c r="G122" s="13">
        <f t="shared" si="115"/>
        <v>9.5028404506727282E-2</v>
      </c>
      <c r="H122" s="13">
        <f t="shared" si="116"/>
        <v>33.661557875329727</v>
      </c>
      <c r="I122" s="13">
        <f t="shared" si="117"/>
        <v>0.14732437183041319</v>
      </c>
      <c r="J122" s="14">
        <f t="shared" si="81"/>
        <v>0.11158008544929951</v>
      </c>
    </row>
    <row r="123" spans="1:10" ht="16.5" x14ac:dyDescent="0.35">
      <c r="A123" s="10">
        <f t="shared" si="72"/>
        <v>122</v>
      </c>
      <c r="B123" s="1">
        <v>34.183593999999999</v>
      </c>
      <c r="C123" s="12">
        <f t="shared" ref="C123:D123" si="139">C122</f>
        <v>0.55000000000000004</v>
      </c>
      <c r="D123" s="12">
        <f t="shared" si="139"/>
        <v>1.4E-2</v>
      </c>
      <c r="E123" s="13">
        <f t="shared" si="113"/>
        <v>8.1028404506727283E-2</v>
      </c>
      <c r="F123" s="13">
        <f t="shared" si="114"/>
        <v>33.730439172198061</v>
      </c>
      <c r="G123" s="13">
        <f t="shared" si="115"/>
        <v>9.5028404506727282E-2</v>
      </c>
      <c r="H123" s="13">
        <f t="shared" si="116"/>
        <v>33.652143571687986</v>
      </c>
      <c r="I123" s="13">
        <f t="shared" si="117"/>
        <v>0.14732437183041319</v>
      </c>
      <c r="J123" s="14">
        <f t="shared" si="81"/>
        <v>0.10708418457039001</v>
      </c>
    </row>
    <row r="124" spans="1:10" ht="16.5" x14ac:dyDescent="0.35">
      <c r="A124" s="10">
        <f t="shared" si="72"/>
        <v>123</v>
      </c>
      <c r="B124" s="1">
        <v>33.597656000000001</v>
      </c>
      <c r="C124" s="12">
        <f t="shared" ref="C124:D124" si="140">C123</f>
        <v>0.55000000000000004</v>
      </c>
      <c r="D124" s="12">
        <f t="shared" si="140"/>
        <v>1.4E-2</v>
      </c>
      <c r="E124" s="13">
        <f t="shared" si="113"/>
        <v>8.1028404506727283E-2</v>
      </c>
      <c r="F124" s="13">
        <f t="shared" si="114"/>
        <v>33.710876974764332</v>
      </c>
      <c r="G124" s="13">
        <f t="shared" si="115"/>
        <v>9.5028404506727282E-2</v>
      </c>
      <c r="H124" s="13">
        <f t="shared" si="116"/>
        <v>33.730439172198061</v>
      </c>
      <c r="I124" s="13">
        <f t="shared" si="117"/>
        <v>0.14732437183041319</v>
      </c>
      <c r="J124" s="14">
        <f t="shared" si="81"/>
        <v>0.10217956542976143</v>
      </c>
    </row>
    <row r="125" spans="1:10" ht="16.5" x14ac:dyDescent="0.35">
      <c r="A125" s="10">
        <f t="shared" si="72"/>
        <v>124</v>
      </c>
      <c r="B125" s="1">
        <v>34.183593999999999</v>
      </c>
      <c r="C125" s="12">
        <f t="shared" ref="C125:D125" si="141">C124</f>
        <v>0.55000000000000004</v>
      </c>
      <c r="D125" s="12">
        <f t="shared" si="141"/>
        <v>1.4E-2</v>
      </c>
      <c r="E125" s="13">
        <f t="shared" si="113"/>
        <v>8.1028404506727283E-2</v>
      </c>
      <c r="F125" s="13">
        <f t="shared" si="114"/>
        <v>33.780519713560722</v>
      </c>
      <c r="G125" s="13">
        <f t="shared" si="115"/>
        <v>9.5028404506727282E-2</v>
      </c>
      <c r="H125" s="13">
        <f t="shared" si="116"/>
        <v>33.710876974764332</v>
      </c>
      <c r="I125" s="13">
        <f t="shared" si="117"/>
        <v>0.14732437183041319</v>
      </c>
      <c r="J125" s="14">
        <f t="shared" si="81"/>
        <v>9.6866228027413834E-2</v>
      </c>
    </row>
    <row r="126" spans="1:10" ht="16.5" x14ac:dyDescent="0.35">
      <c r="A126" s="10">
        <f t="shared" si="72"/>
        <v>125</v>
      </c>
      <c r="B126" s="1">
        <v>33.597656000000001</v>
      </c>
      <c r="C126" s="12">
        <f t="shared" ref="C126:D126" si="142">C125</f>
        <v>0.55000000000000004</v>
      </c>
      <c r="D126" s="12">
        <f t="shared" si="142"/>
        <v>1.4E-2</v>
      </c>
      <c r="E126" s="13">
        <f t="shared" si="113"/>
        <v>8.1028404506727283E-2</v>
      </c>
      <c r="F126" s="13">
        <f t="shared" si="114"/>
        <v>33.753579431829813</v>
      </c>
      <c r="G126" s="13">
        <f t="shared" si="115"/>
        <v>9.5028404506727282E-2</v>
      </c>
      <c r="H126" s="13">
        <f t="shared" si="116"/>
        <v>33.780519713560722</v>
      </c>
      <c r="I126" s="13">
        <f t="shared" si="117"/>
        <v>0.14732437183041319</v>
      </c>
      <c r="J126" s="14">
        <f t="shared" si="81"/>
        <v>9.3596481933661463E-2</v>
      </c>
    </row>
    <row r="127" spans="1:10" ht="16.5" x14ac:dyDescent="0.35">
      <c r="A127" s="10">
        <f t="shared" si="72"/>
        <v>126</v>
      </c>
      <c r="B127" s="1">
        <v>33.890625</v>
      </c>
      <c r="C127" s="12">
        <f t="shared" ref="C127:D127" si="143">C126</f>
        <v>0.55000000000000004</v>
      </c>
      <c r="D127" s="12">
        <f t="shared" si="143"/>
        <v>1.4E-2</v>
      </c>
      <c r="E127" s="13">
        <f t="shared" si="113"/>
        <v>8.1028404506727283E-2</v>
      </c>
      <c r="F127" s="13">
        <f t="shared" si="114"/>
        <v>33.773769584072625</v>
      </c>
      <c r="G127" s="13">
        <f t="shared" si="115"/>
        <v>9.5028404506727282E-2</v>
      </c>
      <c r="H127" s="13">
        <f t="shared" si="116"/>
        <v>33.753579431829813</v>
      </c>
      <c r="I127" s="13">
        <f t="shared" si="117"/>
        <v>0.14732437183041319</v>
      </c>
      <c r="J127" s="14">
        <f t="shared" si="81"/>
        <v>9.3596481933661504E-2</v>
      </c>
    </row>
    <row r="128" spans="1:10" ht="16.5" x14ac:dyDescent="0.35">
      <c r="A128" s="10">
        <f t="shared" si="72"/>
        <v>127</v>
      </c>
      <c r="B128" s="1">
        <v>33.890625</v>
      </c>
      <c r="C128" s="12">
        <f t="shared" ref="C128:D128" si="144">C127</f>
        <v>0.55000000000000004</v>
      </c>
      <c r="D128" s="12">
        <f t="shared" si="144"/>
        <v>1.4E-2</v>
      </c>
      <c r="E128" s="13">
        <f t="shared" si="113"/>
        <v>8.1028404506727283E-2</v>
      </c>
      <c r="F128" s="13">
        <f t="shared" si="114"/>
        <v>33.790985234819104</v>
      </c>
      <c r="G128" s="13">
        <f t="shared" si="115"/>
        <v>9.5028404506727282E-2</v>
      </c>
      <c r="H128" s="13">
        <f t="shared" si="116"/>
        <v>33.773769584072625</v>
      </c>
      <c r="I128" s="13">
        <f t="shared" si="117"/>
        <v>0.14732437183041319</v>
      </c>
      <c r="J128" s="14">
        <f t="shared" si="81"/>
        <v>8.8691862793032927E-2</v>
      </c>
    </row>
    <row r="129" spans="1:10" ht="16.5" x14ac:dyDescent="0.35">
      <c r="A129" s="10">
        <f t="shared" si="72"/>
        <v>128</v>
      </c>
      <c r="B129" s="1">
        <v>34.183593999999999</v>
      </c>
      <c r="C129" s="12">
        <f t="shared" ref="C129:D129" si="145">C128</f>
        <v>0.55000000000000004</v>
      </c>
      <c r="D129" s="12">
        <f t="shared" si="145"/>
        <v>1.4E-2</v>
      </c>
      <c r="E129" s="13">
        <f t="shared" si="113"/>
        <v>8.1028404506727283E-2</v>
      </c>
      <c r="F129" s="13">
        <f t="shared" si="114"/>
        <v>33.848826074524496</v>
      </c>
      <c r="G129" s="13">
        <f t="shared" si="115"/>
        <v>9.5028404506727282E-2</v>
      </c>
      <c r="H129" s="13">
        <f t="shared" si="116"/>
        <v>33.790985234819104</v>
      </c>
      <c r="I129" s="13">
        <f t="shared" si="117"/>
        <v>0.14732437183041319</v>
      </c>
      <c r="J129" s="14">
        <f t="shared" si="81"/>
        <v>8.7056989746156749E-2</v>
      </c>
    </row>
    <row r="130" spans="1:10" ht="16.5" x14ac:dyDescent="0.35">
      <c r="A130" s="10">
        <f t="shared" si="72"/>
        <v>129</v>
      </c>
      <c r="B130" s="1">
        <v>34.183593999999999</v>
      </c>
      <c r="C130" s="12">
        <f t="shared" ref="C130:D130" si="146">C129</f>
        <v>0.55000000000000004</v>
      </c>
      <c r="D130" s="12">
        <f t="shared" si="146"/>
        <v>1.4E-2</v>
      </c>
      <c r="E130" s="13">
        <f t="shared" si="113"/>
        <v>8.1028404506727283E-2</v>
      </c>
      <c r="F130" s="13">
        <f t="shared" si="114"/>
        <v>33.898145548854146</v>
      </c>
      <c r="G130" s="13">
        <f t="shared" si="115"/>
        <v>9.5028404506727282E-2</v>
      </c>
      <c r="H130" s="13">
        <f t="shared" si="116"/>
        <v>33.848826074524496</v>
      </c>
      <c r="I130" s="13">
        <f t="shared" si="117"/>
        <v>0.14732437183041319</v>
      </c>
      <c r="J130" s="14">
        <f t="shared" si="81"/>
        <v>8.1334934082090096E-2</v>
      </c>
    </row>
    <row r="131" spans="1:10" ht="16.5" x14ac:dyDescent="0.35">
      <c r="A131" s="10">
        <f t="shared" si="72"/>
        <v>130</v>
      </c>
      <c r="B131" s="1">
        <v>34.476562999999999</v>
      </c>
      <c r="C131" s="12">
        <f t="shared" ref="C131:D131" si="147">C130</f>
        <v>0.55000000000000004</v>
      </c>
      <c r="D131" s="12">
        <f t="shared" si="147"/>
        <v>1.4E-2</v>
      </c>
      <c r="E131" s="13">
        <f t="shared" si="113"/>
        <v>8.1028404506727283E-2</v>
      </c>
      <c r="F131" s="13">
        <f t="shared" si="114"/>
        <v>33.983360536499958</v>
      </c>
      <c r="G131" s="13">
        <f t="shared" si="115"/>
        <v>9.5028404506727282E-2</v>
      </c>
      <c r="H131" s="13">
        <f t="shared" si="116"/>
        <v>33.898145548854146</v>
      </c>
      <c r="I131" s="13">
        <f t="shared" si="117"/>
        <v>0.14732437183041319</v>
      </c>
      <c r="J131" s="14">
        <f t="shared" si="81"/>
        <v>9.1144172363347195E-2</v>
      </c>
    </row>
    <row r="132" spans="1:10" ht="16.5" x14ac:dyDescent="0.35">
      <c r="A132" s="10">
        <f t="shared" ref="A132:A195" si="148">A131+1</f>
        <v>131</v>
      </c>
      <c r="B132" s="1">
        <v>33.597656000000001</v>
      </c>
      <c r="C132" s="12">
        <f t="shared" ref="C132:D132" si="149">C131</f>
        <v>0.55000000000000004</v>
      </c>
      <c r="D132" s="12">
        <f t="shared" si="149"/>
        <v>1.4E-2</v>
      </c>
      <c r="E132" s="13">
        <f t="shared" si="113"/>
        <v>8.1028404506727283E-2</v>
      </c>
      <c r="F132" s="13">
        <f t="shared" si="114"/>
        <v>33.926536857947958</v>
      </c>
      <c r="G132" s="13">
        <f t="shared" si="115"/>
        <v>9.5028404506727282E-2</v>
      </c>
      <c r="H132" s="13">
        <f t="shared" si="116"/>
        <v>33.983360536499958</v>
      </c>
      <c r="I132" s="13">
        <f t="shared" si="117"/>
        <v>0.14732437183041319</v>
      </c>
      <c r="J132" s="14">
        <f t="shared" si="81"/>
        <v>9.1144172363347181E-2</v>
      </c>
    </row>
    <row r="133" spans="1:10" ht="16.5" x14ac:dyDescent="0.35">
      <c r="A133" s="10">
        <f t="shared" si="148"/>
        <v>132</v>
      </c>
      <c r="B133" s="1">
        <v>34.476562999999999</v>
      </c>
      <c r="C133" s="12">
        <f t="shared" ref="C133:D133" si="150">C132</f>
        <v>0.55000000000000004</v>
      </c>
      <c r="D133" s="12">
        <f t="shared" si="150"/>
        <v>1.4E-2</v>
      </c>
      <c r="E133" s="13">
        <f t="shared" si="113"/>
        <v>8.1028404506727283E-2</v>
      </c>
      <c r="F133" s="13">
        <f t="shared" si="114"/>
        <v>34.007569113816082</v>
      </c>
      <c r="G133" s="13">
        <f t="shared" si="115"/>
        <v>9.5028404506727282E-2</v>
      </c>
      <c r="H133" s="13">
        <f t="shared" si="116"/>
        <v>33.926536857947958</v>
      </c>
      <c r="I133" s="13">
        <f t="shared" si="117"/>
        <v>0.14732437183041319</v>
      </c>
      <c r="J133" s="14">
        <f t="shared" si="81"/>
        <v>9.9318537597728115E-2</v>
      </c>
    </row>
    <row r="134" spans="1:10" ht="16.5" x14ac:dyDescent="0.35">
      <c r="A134" s="10">
        <f t="shared" si="148"/>
        <v>133</v>
      </c>
      <c r="B134" s="1">
        <v>33.890625</v>
      </c>
      <c r="C134" s="12">
        <f t="shared" ref="C134:D134" si="151">C133</f>
        <v>0.55000000000000004</v>
      </c>
      <c r="D134" s="12">
        <f t="shared" si="151"/>
        <v>1.4E-2</v>
      </c>
      <c r="E134" s="13">
        <f t="shared" si="113"/>
        <v>8.1028404506727283E-2</v>
      </c>
      <c r="F134" s="13">
        <f t="shared" si="114"/>
        <v>33.990340395708863</v>
      </c>
      <c r="G134" s="13">
        <f t="shared" si="115"/>
        <v>9.5028404506727282E-2</v>
      </c>
      <c r="H134" s="13">
        <f t="shared" si="116"/>
        <v>34.007569113816082</v>
      </c>
      <c r="I134" s="13">
        <f t="shared" si="117"/>
        <v>0.14732437183041319</v>
      </c>
      <c r="J134" s="14">
        <f t="shared" ref="J134:J197" si="152">_xlfn.VAR.S(B131:B151)</f>
        <v>9.9318537597728199E-2</v>
      </c>
    </row>
    <row r="135" spans="1:10" ht="16.5" x14ac:dyDescent="0.35">
      <c r="A135" s="10">
        <f t="shared" si="148"/>
        <v>134</v>
      </c>
      <c r="B135" s="1">
        <v>33.597656000000001</v>
      </c>
      <c r="C135" s="12">
        <f t="shared" ref="C135:D135" si="153">C134</f>
        <v>0.55000000000000004</v>
      </c>
      <c r="D135" s="12">
        <f t="shared" si="153"/>
        <v>1.4E-2</v>
      </c>
      <c r="E135" s="13">
        <f t="shared" si="113"/>
        <v>8.1028404506727283E-2</v>
      </c>
      <c r="F135" s="13">
        <f t="shared" si="114"/>
        <v>33.932488413783446</v>
      </c>
      <c r="G135" s="13">
        <f t="shared" si="115"/>
        <v>9.5028404506727282E-2</v>
      </c>
      <c r="H135" s="13">
        <f t="shared" si="116"/>
        <v>33.990340395708863</v>
      </c>
      <c r="I135" s="13">
        <f t="shared" si="117"/>
        <v>0.14732437183041319</v>
      </c>
      <c r="J135" s="14">
        <f t="shared" si="152"/>
        <v>8.9918017578190096E-2</v>
      </c>
    </row>
    <row r="136" spans="1:10" ht="16.5" x14ac:dyDescent="0.35">
      <c r="A136" s="10">
        <f t="shared" si="148"/>
        <v>135</v>
      </c>
      <c r="B136" s="1">
        <v>33.890625</v>
      </c>
      <c r="C136" s="12">
        <f t="shared" ref="C136:D136" si="154">C135</f>
        <v>0.55000000000000004</v>
      </c>
      <c r="D136" s="12">
        <f t="shared" si="154"/>
        <v>1.4E-2</v>
      </c>
      <c r="E136" s="13">
        <f t="shared" si="113"/>
        <v>8.1028404506727283E-2</v>
      </c>
      <c r="F136" s="13">
        <f t="shared" si="114"/>
        <v>33.926320912645124</v>
      </c>
      <c r="G136" s="13">
        <f t="shared" si="115"/>
        <v>9.5028404506727282E-2</v>
      </c>
      <c r="H136" s="13">
        <f t="shared" si="116"/>
        <v>33.932488413783446</v>
      </c>
      <c r="I136" s="13">
        <f t="shared" si="117"/>
        <v>0.14732437183041319</v>
      </c>
      <c r="J136" s="14">
        <f t="shared" si="152"/>
        <v>8.2561088867247279E-2</v>
      </c>
    </row>
    <row r="137" spans="1:10" ht="16.5" x14ac:dyDescent="0.35">
      <c r="A137" s="10">
        <f t="shared" si="148"/>
        <v>136</v>
      </c>
      <c r="B137" s="1">
        <v>33.597656000000001</v>
      </c>
      <c r="C137" s="12">
        <f t="shared" ref="C137:D137" si="155">C136</f>
        <v>0.55000000000000004</v>
      </c>
      <c r="D137" s="12">
        <f t="shared" si="155"/>
        <v>1.4E-2</v>
      </c>
      <c r="E137" s="13">
        <f t="shared" si="113"/>
        <v>8.1028404506727283E-2</v>
      </c>
      <c r="F137" s="13">
        <f t="shared" si="114"/>
        <v>33.877900560846982</v>
      </c>
      <c r="G137" s="13">
        <f t="shared" si="115"/>
        <v>9.5028404506727282E-2</v>
      </c>
      <c r="H137" s="13">
        <f t="shared" si="116"/>
        <v>33.926320912645124</v>
      </c>
      <c r="I137" s="13">
        <f t="shared" si="117"/>
        <v>0.14732437183041319</v>
      </c>
      <c r="J137" s="14">
        <f t="shared" si="152"/>
        <v>8.0108779296932983E-2</v>
      </c>
    </row>
    <row r="138" spans="1:10" ht="16.5" x14ac:dyDescent="0.35">
      <c r="A138" s="10">
        <f t="shared" si="148"/>
        <v>137</v>
      </c>
      <c r="B138" s="1">
        <v>33.597656000000001</v>
      </c>
      <c r="C138" s="12">
        <f t="shared" ref="C138:D138" si="156">C137</f>
        <v>0.55000000000000004</v>
      </c>
      <c r="D138" s="12">
        <f t="shared" si="156"/>
        <v>1.4E-2</v>
      </c>
      <c r="E138" s="13">
        <f t="shared" si="113"/>
        <v>8.1028404506727283E-2</v>
      </c>
      <c r="F138" s="13">
        <f t="shared" si="114"/>
        <v>33.836613706961309</v>
      </c>
      <c r="G138" s="13">
        <f t="shared" si="115"/>
        <v>9.5028404506727282E-2</v>
      </c>
      <c r="H138" s="13">
        <f t="shared" si="116"/>
        <v>33.877900560846982</v>
      </c>
      <c r="I138" s="13">
        <f t="shared" si="117"/>
        <v>0.14732437183041319</v>
      </c>
      <c r="J138" s="14">
        <f t="shared" si="152"/>
        <v>8.7056989746156763E-2</v>
      </c>
    </row>
    <row r="139" spans="1:10" ht="16.5" x14ac:dyDescent="0.35">
      <c r="A139" s="10">
        <f t="shared" si="148"/>
        <v>138</v>
      </c>
      <c r="B139" s="1">
        <v>34.476562999999999</v>
      </c>
      <c r="C139" s="12">
        <f t="shared" ref="C139:D139" si="157">C138</f>
        <v>0.55000000000000004</v>
      </c>
      <c r="D139" s="12">
        <f t="shared" si="157"/>
        <v>1.4E-2</v>
      </c>
      <c r="E139" s="13">
        <f t="shared" si="113"/>
        <v>8.1028404506727283E-2</v>
      </c>
      <c r="F139" s="13">
        <f t="shared" si="114"/>
        <v>33.930893834561552</v>
      </c>
      <c r="G139" s="13">
        <f t="shared" si="115"/>
        <v>9.5028404506727282E-2</v>
      </c>
      <c r="H139" s="13">
        <f t="shared" si="116"/>
        <v>33.836613706961309</v>
      </c>
      <c r="I139" s="13">
        <f t="shared" si="117"/>
        <v>0.14732437183041319</v>
      </c>
      <c r="J139" s="14">
        <f t="shared" si="152"/>
        <v>8.7056989746156763E-2</v>
      </c>
    </row>
    <row r="140" spans="1:10" ht="16.5" x14ac:dyDescent="0.35">
      <c r="A140" s="10">
        <f t="shared" si="148"/>
        <v>139</v>
      </c>
      <c r="B140" s="1">
        <v>33.890625</v>
      </c>
      <c r="C140" s="12">
        <f t="shared" ref="C140:D140" si="158">C139</f>
        <v>0.55000000000000004</v>
      </c>
      <c r="D140" s="12">
        <f t="shared" si="158"/>
        <v>1.4E-2</v>
      </c>
      <c r="E140" s="13">
        <f t="shared" si="113"/>
        <v>8.1028404506727283E-2</v>
      </c>
      <c r="F140" s="13">
        <f t="shared" si="114"/>
        <v>33.924961253805428</v>
      </c>
      <c r="G140" s="13">
        <f t="shared" si="115"/>
        <v>9.5028404506727282E-2</v>
      </c>
      <c r="H140" s="13">
        <f t="shared" si="116"/>
        <v>33.930893834561552</v>
      </c>
      <c r="I140" s="13">
        <f t="shared" si="117"/>
        <v>0.14732437183041319</v>
      </c>
      <c r="J140" s="14">
        <f t="shared" si="152"/>
        <v>8.7056989746156804E-2</v>
      </c>
    </row>
    <row r="141" spans="1:10" ht="16.5" x14ac:dyDescent="0.35">
      <c r="A141" s="10">
        <f t="shared" si="148"/>
        <v>140</v>
      </c>
      <c r="B141" s="1">
        <v>33.890625</v>
      </c>
      <c r="C141" s="12">
        <f t="shared" ref="C141:D141" si="159">C140</f>
        <v>0.55000000000000004</v>
      </c>
      <c r="D141" s="12">
        <f t="shared" si="159"/>
        <v>1.4E-2</v>
      </c>
      <c r="E141" s="13">
        <f t="shared" si="113"/>
        <v>8.1028404506727283E-2</v>
      </c>
      <c r="F141" s="13">
        <f t="shared" si="114"/>
        <v>33.919902686782535</v>
      </c>
      <c r="G141" s="13">
        <f t="shared" si="115"/>
        <v>9.5028404506727282E-2</v>
      </c>
      <c r="H141" s="13">
        <f t="shared" si="116"/>
        <v>33.924961253805428</v>
      </c>
      <c r="I141" s="13">
        <f t="shared" si="117"/>
        <v>0.14732437183041319</v>
      </c>
      <c r="J141" s="14">
        <f t="shared" si="152"/>
        <v>9.0735454101628227E-2</v>
      </c>
    </row>
    <row r="142" spans="1:10" ht="16.5" x14ac:dyDescent="0.35">
      <c r="A142" s="10">
        <f t="shared" si="148"/>
        <v>141</v>
      </c>
      <c r="B142" s="1">
        <v>33.890625</v>
      </c>
      <c r="C142" s="12">
        <f t="shared" ref="C142:D142" si="160">C141</f>
        <v>0.55000000000000004</v>
      </c>
      <c r="D142" s="12">
        <f t="shared" si="160"/>
        <v>1.4E-2</v>
      </c>
      <c r="E142" s="13">
        <f t="shared" si="113"/>
        <v>8.1028404506727283E-2</v>
      </c>
      <c r="F142" s="13">
        <f t="shared" si="114"/>
        <v>33.91558936996865</v>
      </c>
      <c r="G142" s="13">
        <f t="shared" si="115"/>
        <v>9.5028404506727282E-2</v>
      </c>
      <c r="H142" s="13">
        <f t="shared" si="116"/>
        <v>33.919902686782535</v>
      </c>
      <c r="I142" s="13">
        <f t="shared" si="117"/>
        <v>0.14732437183041319</v>
      </c>
      <c r="J142" s="14">
        <f t="shared" si="152"/>
        <v>8.2561088867247279E-2</v>
      </c>
    </row>
    <row r="143" spans="1:10" ht="16.5" x14ac:dyDescent="0.35">
      <c r="A143" s="10">
        <f t="shared" si="148"/>
        <v>142</v>
      </c>
      <c r="B143" s="1">
        <v>34.183593999999999</v>
      </c>
      <c r="C143" s="12">
        <f t="shared" ref="C143:D143" si="161">C142</f>
        <v>0.55000000000000004</v>
      </c>
      <c r="D143" s="12">
        <f t="shared" si="161"/>
        <v>1.4E-2</v>
      </c>
      <c r="E143" s="13">
        <f t="shared" si="113"/>
        <v>8.1028404506727283E-2</v>
      </c>
      <c r="F143" s="13">
        <f t="shared" si="114"/>
        <v>33.955072983735661</v>
      </c>
      <c r="G143" s="13">
        <f t="shared" si="115"/>
        <v>9.5028404506727282E-2</v>
      </c>
      <c r="H143" s="13">
        <f t="shared" si="116"/>
        <v>33.91558936996865</v>
      </c>
      <c r="I143" s="13">
        <f t="shared" si="117"/>
        <v>0.14732437183041319</v>
      </c>
      <c r="J143" s="14">
        <f t="shared" si="152"/>
        <v>8.2561088867247265E-2</v>
      </c>
    </row>
    <row r="144" spans="1:10" ht="16.5" x14ac:dyDescent="0.35">
      <c r="A144" s="10">
        <f t="shared" si="148"/>
        <v>143</v>
      </c>
      <c r="B144" s="1">
        <v>34.183593999999999</v>
      </c>
      <c r="C144" s="12">
        <f t="shared" ref="C144:D144" si="162">C143</f>
        <v>0.55000000000000004</v>
      </c>
      <c r="D144" s="12">
        <f t="shared" si="162"/>
        <v>1.4E-2</v>
      </c>
      <c r="E144" s="13">
        <f t="shared" si="113"/>
        <v>8.1028404506727283E-2</v>
      </c>
      <c r="F144" s="13">
        <f t="shared" si="114"/>
        <v>33.988739698906855</v>
      </c>
      <c r="G144" s="13">
        <f t="shared" si="115"/>
        <v>9.5028404506727282E-2</v>
      </c>
      <c r="H144" s="13">
        <f t="shared" si="116"/>
        <v>33.955072983735661</v>
      </c>
      <c r="I144" s="13">
        <f t="shared" si="117"/>
        <v>0.14732437183041319</v>
      </c>
      <c r="J144" s="14">
        <f t="shared" si="152"/>
        <v>9.1144172363347209E-2</v>
      </c>
    </row>
    <row r="145" spans="1:10" ht="16.5" x14ac:dyDescent="0.35">
      <c r="A145" s="10">
        <f t="shared" si="148"/>
        <v>144</v>
      </c>
      <c r="B145" s="1">
        <v>34.183593999999999</v>
      </c>
      <c r="C145" s="12">
        <f t="shared" ref="C145:D145" si="163">C144</f>
        <v>0.55000000000000004</v>
      </c>
      <c r="D145" s="12">
        <f t="shared" si="163"/>
        <v>1.4E-2</v>
      </c>
      <c r="E145" s="13">
        <f t="shared" si="113"/>
        <v>8.1028404506727283E-2</v>
      </c>
      <c r="F145" s="13">
        <f t="shared" si="114"/>
        <v>34.01744648641386</v>
      </c>
      <c r="G145" s="13">
        <f t="shared" si="115"/>
        <v>9.5028404506727282E-2</v>
      </c>
      <c r="H145" s="13">
        <f t="shared" si="116"/>
        <v>33.988739698906855</v>
      </c>
      <c r="I145" s="13">
        <f t="shared" si="117"/>
        <v>0.14732437183041319</v>
      </c>
      <c r="J145" s="14">
        <f t="shared" si="152"/>
        <v>9.1144172363347223E-2</v>
      </c>
    </row>
    <row r="146" spans="1:10" ht="16.5" x14ac:dyDescent="0.35">
      <c r="A146" s="10">
        <f t="shared" si="148"/>
        <v>145</v>
      </c>
      <c r="B146" s="1">
        <v>33.890625</v>
      </c>
      <c r="C146" s="12">
        <f t="shared" ref="C146:D146" si="164">C145</f>
        <v>0.55000000000000004</v>
      </c>
      <c r="D146" s="12">
        <f t="shared" si="164"/>
        <v>1.4E-2</v>
      </c>
      <c r="E146" s="13">
        <f t="shared" si="113"/>
        <v>8.1028404506727283E-2</v>
      </c>
      <c r="F146" s="13">
        <f t="shared" si="114"/>
        <v>33.998762590593337</v>
      </c>
      <c r="G146" s="13">
        <f t="shared" si="115"/>
        <v>9.5028404506727282E-2</v>
      </c>
      <c r="H146" s="13">
        <f t="shared" si="116"/>
        <v>34.01744648641386</v>
      </c>
      <c r="I146" s="13">
        <f t="shared" si="117"/>
        <v>0.14732437183041319</v>
      </c>
      <c r="J146" s="14">
        <f t="shared" si="152"/>
        <v>9.0735454101628227E-2</v>
      </c>
    </row>
    <row r="147" spans="1:10" ht="16.5" x14ac:dyDescent="0.35">
      <c r="A147" s="10">
        <f t="shared" si="148"/>
        <v>146</v>
      </c>
      <c r="B147" s="1">
        <v>34.183593999999999</v>
      </c>
      <c r="C147" s="12">
        <f t="shared" ref="C147:D147" si="165">C146</f>
        <v>0.55000000000000004</v>
      </c>
      <c r="D147" s="12">
        <f t="shared" si="165"/>
        <v>1.4E-2</v>
      </c>
      <c r="E147" s="13">
        <f t="shared" si="113"/>
        <v>8.1028404506727283E-2</v>
      </c>
      <c r="F147" s="13">
        <f t="shared" si="114"/>
        <v>34.025992761878705</v>
      </c>
      <c r="G147" s="13">
        <f t="shared" si="115"/>
        <v>9.5028404506727282E-2</v>
      </c>
      <c r="H147" s="13">
        <f t="shared" si="116"/>
        <v>33.998762590593337</v>
      </c>
      <c r="I147" s="13">
        <f t="shared" si="117"/>
        <v>0.14732437183041319</v>
      </c>
      <c r="J147" s="14">
        <f t="shared" si="152"/>
        <v>9.8501101074290026E-2</v>
      </c>
    </row>
    <row r="148" spans="1:10" ht="16.5" x14ac:dyDescent="0.35">
      <c r="A148" s="10">
        <f t="shared" si="148"/>
        <v>147</v>
      </c>
      <c r="B148" s="1">
        <v>34.476562999999999</v>
      </c>
      <c r="C148" s="12">
        <f t="shared" ref="C148:D148" si="166">C147</f>
        <v>0.55000000000000004</v>
      </c>
      <c r="D148" s="12">
        <f t="shared" si="166"/>
        <v>1.4E-2</v>
      </c>
      <c r="E148" s="13">
        <f t="shared" si="113"/>
        <v>8.1028404506727283E-2</v>
      </c>
      <c r="F148" s="13">
        <f t="shared" si="114"/>
        <v>34.092372739175403</v>
      </c>
      <c r="G148" s="13">
        <f t="shared" si="115"/>
        <v>9.5028404506727282E-2</v>
      </c>
      <c r="H148" s="13">
        <f t="shared" si="116"/>
        <v>34.025992761878705</v>
      </c>
      <c r="I148" s="13">
        <f t="shared" si="117"/>
        <v>0.14732437183041319</v>
      </c>
      <c r="J148" s="14">
        <f t="shared" si="152"/>
        <v>9.8501101074290026E-2</v>
      </c>
    </row>
    <row r="149" spans="1:10" ht="16.5" x14ac:dyDescent="0.35">
      <c r="A149" s="10">
        <f t="shared" si="148"/>
        <v>148</v>
      </c>
      <c r="B149" s="1">
        <v>34.183593999999999</v>
      </c>
      <c r="C149" s="12">
        <f t="shared" ref="C149:D149" si="167">C148</f>
        <v>0.55000000000000004</v>
      </c>
      <c r="D149" s="12">
        <f t="shared" si="167"/>
        <v>1.4E-2</v>
      </c>
      <c r="E149" s="13">
        <f t="shared" si="113"/>
        <v>8.1028404506727283E-2</v>
      </c>
      <c r="F149" s="13">
        <f t="shared" si="114"/>
        <v>34.105811854123964</v>
      </c>
      <c r="G149" s="13">
        <f t="shared" si="115"/>
        <v>9.5028404506727282E-2</v>
      </c>
      <c r="H149" s="13">
        <f t="shared" si="116"/>
        <v>34.092372739175403</v>
      </c>
      <c r="I149" s="13">
        <f t="shared" si="117"/>
        <v>0.14732437183041319</v>
      </c>
      <c r="J149" s="14">
        <f t="shared" si="152"/>
        <v>0.10831033935554715</v>
      </c>
    </row>
    <row r="150" spans="1:10" ht="16.5" x14ac:dyDescent="0.35">
      <c r="A150" s="10">
        <f t="shared" si="148"/>
        <v>149</v>
      </c>
      <c r="B150" s="1">
        <v>33.597656000000001</v>
      </c>
      <c r="C150" s="12">
        <f t="shared" ref="C150:D150" si="168">C149</f>
        <v>0.55000000000000004</v>
      </c>
      <c r="D150" s="12">
        <f t="shared" si="168"/>
        <v>1.4E-2</v>
      </c>
      <c r="E150" s="13">
        <f t="shared" si="113"/>
        <v>8.1028404506727283E-2</v>
      </c>
      <c r="F150" s="13">
        <f t="shared" si="114"/>
        <v>34.030948112123205</v>
      </c>
      <c r="G150" s="13">
        <f t="shared" si="115"/>
        <v>9.5028404506727282E-2</v>
      </c>
      <c r="H150" s="13">
        <f t="shared" si="116"/>
        <v>34.105811854123964</v>
      </c>
      <c r="I150" s="13">
        <f t="shared" si="117"/>
        <v>0.14732437183041319</v>
      </c>
      <c r="J150" s="14">
        <f t="shared" si="152"/>
        <v>0.1168934228516471</v>
      </c>
    </row>
    <row r="151" spans="1:10" ht="16.5" x14ac:dyDescent="0.35">
      <c r="A151" s="10">
        <f t="shared" si="148"/>
        <v>150</v>
      </c>
      <c r="B151" s="1">
        <v>34.183593999999999</v>
      </c>
      <c r="C151" s="12">
        <f t="shared" ref="C151:D151" si="169">C150</f>
        <v>0.55000000000000004</v>
      </c>
      <c r="D151" s="12">
        <f t="shared" si="169"/>
        <v>1.4E-2</v>
      </c>
      <c r="E151" s="13">
        <f t="shared" si="113"/>
        <v>8.1028404506727283E-2</v>
      </c>
      <c r="F151" s="13">
        <f t="shared" si="114"/>
        <v>34.053436571667149</v>
      </c>
      <c r="G151" s="13">
        <f t="shared" si="115"/>
        <v>9.5028404506727282E-2</v>
      </c>
      <c r="H151" s="13">
        <f t="shared" si="116"/>
        <v>34.030948112123205</v>
      </c>
      <c r="I151" s="13">
        <f t="shared" si="117"/>
        <v>0.14732437183041319</v>
      </c>
      <c r="J151" s="14">
        <f t="shared" si="152"/>
        <v>0.12547650634774707</v>
      </c>
    </row>
    <row r="152" spans="1:10" ht="16.5" x14ac:dyDescent="0.35">
      <c r="A152" s="10">
        <f t="shared" si="148"/>
        <v>151</v>
      </c>
      <c r="B152" s="1">
        <v>34.183593999999999</v>
      </c>
      <c r="C152" s="12">
        <f t="shared" ref="C152:D152" si="170">C151</f>
        <v>0.55000000000000004</v>
      </c>
      <c r="D152" s="12">
        <f t="shared" si="170"/>
        <v>1.4E-2</v>
      </c>
      <c r="E152" s="13">
        <f t="shared" si="113"/>
        <v>8.1028404506727283E-2</v>
      </c>
      <c r="F152" s="13">
        <f t="shared" si="114"/>
        <v>34.072611933035347</v>
      </c>
      <c r="G152" s="13">
        <f t="shared" si="115"/>
        <v>9.5028404506727282E-2</v>
      </c>
      <c r="H152" s="13">
        <f t="shared" si="116"/>
        <v>34.053436571667149</v>
      </c>
      <c r="I152" s="13">
        <f t="shared" si="117"/>
        <v>0.14732437183041319</v>
      </c>
      <c r="J152" s="14">
        <f t="shared" si="152"/>
        <v>0.12425035156258994</v>
      </c>
    </row>
    <row r="153" spans="1:10" ht="16.5" x14ac:dyDescent="0.35">
      <c r="A153" s="10">
        <f t="shared" si="148"/>
        <v>152</v>
      </c>
      <c r="B153" s="1">
        <v>34.183593999999999</v>
      </c>
      <c r="C153" s="12">
        <f t="shared" ref="C153:D153" si="171">C152</f>
        <v>0.55000000000000004</v>
      </c>
      <c r="D153" s="12">
        <f t="shared" si="171"/>
        <v>1.4E-2</v>
      </c>
      <c r="E153" s="13">
        <f t="shared" si="113"/>
        <v>8.1028404506727283E-2</v>
      </c>
      <c r="F153" s="13">
        <f t="shared" si="114"/>
        <v>34.088962296335353</v>
      </c>
      <c r="G153" s="13">
        <f t="shared" si="115"/>
        <v>9.5028404506727282E-2</v>
      </c>
      <c r="H153" s="13">
        <f t="shared" si="116"/>
        <v>34.072611933035347</v>
      </c>
      <c r="I153" s="13">
        <f t="shared" si="117"/>
        <v>0.14732437183041319</v>
      </c>
      <c r="J153" s="14">
        <f t="shared" si="152"/>
        <v>0.12425035156258993</v>
      </c>
    </row>
    <row r="154" spans="1:10" ht="16.5" x14ac:dyDescent="0.35">
      <c r="A154" s="10">
        <f t="shared" si="148"/>
        <v>153</v>
      </c>
      <c r="B154" s="1">
        <v>33.597656000000001</v>
      </c>
      <c r="C154" s="12">
        <f t="shared" ref="C154:D154" si="172">C153</f>
        <v>0.55000000000000004</v>
      </c>
      <c r="D154" s="12">
        <f t="shared" si="172"/>
        <v>1.4E-2</v>
      </c>
      <c r="E154" s="13">
        <f t="shared" si="113"/>
        <v>8.1028404506727283E-2</v>
      </c>
      <c r="F154" s="13">
        <f t="shared" si="114"/>
        <v>34.016580904851423</v>
      </c>
      <c r="G154" s="13">
        <f t="shared" si="115"/>
        <v>9.5028404506727282E-2</v>
      </c>
      <c r="H154" s="13">
        <f t="shared" si="116"/>
        <v>34.088962296335353</v>
      </c>
      <c r="I154" s="13">
        <f t="shared" si="117"/>
        <v>0.14732437183041319</v>
      </c>
      <c r="J154" s="14">
        <f t="shared" si="152"/>
        <v>0.12547650634774707</v>
      </c>
    </row>
    <row r="155" spans="1:10" ht="16.5" x14ac:dyDescent="0.35">
      <c r="A155" s="10">
        <f t="shared" si="148"/>
        <v>154</v>
      </c>
      <c r="B155" s="1">
        <v>33.597656000000001</v>
      </c>
      <c r="C155" s="12">
        <f t="shared" ref="C155:D155" si="173">C154</f>
        <v>0.55000000000000004</v>
      </c>
      <c r="D155" s="12">
        <f t="shared" si="173"/>
        <v>1.4E-2</v>
      </c>
      <c r="E155" s="13">
        <f t="shared" si="113"/>
        <v>8.1028404506727283E-2</v>
      </c>
      <c r="F155" s="13">
        <f t="shared" si="114"/>
        <v>33.954863056400072</v>
      </c>
      <c r="G155" s="13">
        <f t="shared" si="115"/>
        <v>9.5028404506727282E-2</v>
      </c>
      <c r="H155" s="13">
        <f t="shared" si="116"/>
        <v>34.016580904851423</v>
      </c>
      <c r="I155" s="13">
        <f t="shared" si="117"/>
        <v>0.14732437183041319</v>
      </c>
      <c r="J155" s="14">
        <f t="shared" si="152"/>
        <v>0.12547650634774707</v>
      </c>
    </row>
    <row r="156" spans="1:10" ht="16.5" x14ac:dyDescent="0.35">
      <c r="A156" s="10">
        <f t="shared" si="148"/>
        <v>155</v>
      </c>
      <c r="B156" s="1">
        <v>33.597656000000001</v>
      </c>
      <c r="C156" s="12">
        <f t="shared" ref="C156:D156" si="174">C155</f>
        <v>0.55000000000000004</v>
      </c>
      <c r="D156" s="12">
        <f t="shared" si="174"/>
        <v>1.4E-2</v>
      </c>
      <c r="E156" s="13">
        <f t="shared" si="113"/>
        <v>8.1028404506727283E-2</v>
      </c>
      <c r="F156" s="13">
        <f t="shared" si="114"/>
        <v>33.902237751202541</v>
      </c>
      <c r="G156" s="13">
        <f t="shared" si="115"/>
        <v>9.5028404506727282E-2</v>
      </c>
      <c r="H156" s="13">
        <f t="shared" si="116"/>
        <v>33.954863056400072</v>
      </c>
      <c r="I156" s="13">
        <f t="shared" si="117"/>
        <v>0.14732437183041319</v>
      </c>
      <c r="J156" s="14">
        <f t="shared" si="152"/>
        <v>0.13365087158212799</v>
      </c>
    </row>
    <row r="157" spans="1:10" ht="16.5" x14ac:dyDescent="0.35">
      <c r="A157" s="10">
        <f t="shared" si="148"/>
        <v>156</v>
      </c>
      <c r="B157" s="1">
        <v>33.890625</v>
      </c>
      <c r="C157" s="12">
        <f t="shared" ref="C157:D157" si="175">C156</f>
        <v>0.55000000000000004</v>
      </c>
      <c r="D157" s="12">
        <f t="shared" si="175"/>
        <v>1.4E-2</v>
      </c>
      <c r="E157" s="13">
        <f t="shared" si="113"/>
        <v>8.1028404506727283E-2</v>
      </c>
      <c r="F157" s="13">
        <f t="shared" si="114"/>
        <v>33.900526909926405</v>
      </c>
      <c r="G157" s="13">
        <f t="shared" si="115"/>
        <v>9.5028404506727282E-2</v>
      </c>
      <c r="H157" s="13">
        <f t="shared" si="116"/>
        <v>33.902237751202541</v>
      </c>
      <c r="I157" s="13">
        <f t="shared" si="117"/>
        <v>0.14732437183041319</v>
      </c>
      <c r="J157" s="14">
        <f t="shared" si="152"/>
        <v>0.14141651855478984</v>
      </c>
    </row>
    <row r="158" spans="1:10" ht="16.5" x14ac:dyDescent="0.35">
      <c r="A158" s="10">
        <f t="shared" si="148"/>
        <v>157</v>
      </c>
      <c r="B158" s="1">
        <v>34.476562999999999</v>
      </c>
      <c r="C158" s="12">
        <f t="shared" ref="C158:D158" si="176">C157</f>
        <v>0.55000000000000004</v>
      </c>
      <c r="D158" s="12">
        <f t="shared" si="176"/>
        <v>1.4E-2</v>
      </c>
      <c r="E158" s="13">
        <f t="shared" si="113"/>
        <v>8.1028404506727283E-2</v>
      </c>
      <c r="F158" s="13">
        <f t="shared" si="114"/>
        <v>33.985391065048148</v>
      </c>
      <c r="G158" s="13">
        <f t="shared" si="115"/>
        <v>9.5028404506727282E-2</v>
      </c>
      <c r="H158" s="13">
        <f t="shared" si="116"/>
        <v>33.900526909926405</v>
      </c>
      <c r="I158" s="13">
        <f t="shared" si="117"/>
        <v>0.14732437183041319</v>
      </c>
      <c r="J158" s="14">
        <f t="shared" si="152"/>
        <v>0.13651189941416134</v>
      </c>
    </row>
    <row r="159" spans="1:10" ht="16.5" x14ac:dyDescent="0.35">
      <c r="A159" s="10">
        <f t="shared" si="148"/>
        <v>158</v>
      </c>
      <c r="B159" s="1">
        <v>34.183593999999999</v>
      </c>
      <c r="C159" s="12">
        <f t="shared" ref="C159:D159" si="177">C158</f>
        <v>0.55000000000000004</v>
      </c>
      <c r="D159" s="12">
        <f t="shared" si="177"/>
        <v>1.4E-2</v>
      </c>
      <c r="E159" s="13">
        <f t="shared" si="113"/>
        <v>8.1028404506727283E-2</v>
      </c>
      <c r="F159" s="13">
        <f t="shared" si="114"/>
        <v>34.014591187934876</v>
      </c>
      <c r="G159" s="13">
        <f t="shared" si="115"/>
        <v>9.5028404506727282E-2</v>
      </c>
      <c r="H159" s="13">
        <f t="shared" si="116"/>
        <v>33.985391065048148</v>
      </c>
      <c r="I159" s="13">
        <f t="shared" si="117"/>
        <v>0.14732437183041319</v>
      </c>
      <c r="J159" s="14">
        <f t="shared" si="152"/>
        <v>0.12261547851571378</v>
      </c>
    </row>
    <row r="160" spans="1:10" ht="16.5" x14ac:dyDescent="0.35">
      <c r="A160" s="10">
        <f t="shared" si="148"/>
        <v>159</v>
      </c>
      <c r="B160" s="1">
        <v>34.476562999999999</v>
      </c>
      <c r="C160" s="12">
        <f t="shared" ref="C160:D160" si="178">C159</f>
        <v>0.55000000000000004</v>
      </c>
      <c r="D160" s="12">
        <f t="shared" si="178"/>
        <v>1.4E-2</v>
      </c>
      <c r="E160" s="13">
        <f t="shared" si="113"/>
        <v>8.1028404506727283E-2</v>
      </c>
      <c r="F160" s="13">
        <f t="shared" si="114"/>
        <v>34.082650894950724</v>
      </c>
      <c r="G160" s="13">
        <f t="shared" si="115"/>
        <v>9.5028404506727282E-2</v>
      </c>
      <c r="H160" s="13">
        <f t="shared" si="116"/>
        <v>34.014591187934876</v>
      </c>
      <c r="I160" s="13">
        <f t="shared" si="117"/>
        <v>0.14732437183041319</v>
      </c>
      <c r="J160" s="14">
        <f t="shared" si="152"/>
        <v>0.12261547851571372</v>
      </c>
    </row>
    <row r="161" spans="1:10" ht="16.5" x14ac:dyDescent="0.35">
      <c r="A161" s="10">
        <f t="shared" si="148"/>
        <v>160</v>
      </c>
      <c r="B161" s="1">
        <v>33.597656000000001</v>
      </c>
      <c r="C161" s="12">
        <f t="shared" ref="C161:D161" si="179">C160</f>
        <v>0.55000000000000004</v>
      </c>
      <c r="D161" s="12">
        <f t="shared" si="179"/>
        <v>1.4E-2</v>
      </c>
      <c r="E161" s="13">
        <f t="shared" si="113"/>
        <v>8.1028404506727283E-2</v>
      </c>
      <c r="F161" s="13">
        <f t="shared" si="114"/>
        <v>34.01119932671115</v>
      </c>
      <c r="G161" s="13">
        <f t="shared" si="115"/>
        <v>9.5028404506727282E-2</v>
      </c>
      <c r="H161" s="13">
        <f t="shared" si="116"/>
        <v>34.082650894950724</v>
      </c>
      <c r="I161" s="13">
        <f t="shared" si="117"/>
        <v>0.14732437183041319</v>
      </c>
      <c r="J161" s="14">
        <f t="shared" si="152"/>
        <v>0.11934573242196138</v>
      </c>
    </row>
    <row r="162" spans="1:10" ht="16.5" x14ac:dyDescent="0.35">
      <c r="A162" s="10">
        <f t="shared" si="148"/>
        <v>161</v>
      </c>
      <c r="B162" s="1">
        <v>34.183593999999999</v>
      </c>
      <c r="C162" s="12">
        <f t="shared" ref="C162:D162" si="180">C161</f>
        <v>0.55000000000000004</v>
      </c>
      <c r="D162" s="12">
        <f t="shared" si="180"/>
        <v>1.4E-2</v>
      </c>
      <c r="E162" s="13">
        <f t="shared" si="113"/>
        <v>8.1028404506727283E-2</v>
      </c>
      <c r="F162" s="13">
        <f t="shared" si="114"/>
        <v>34.03659726366034</v>
      </c>
      <c r="G162" s="13">
        <f t="shared" si="115"/>
        <v>9.5028404506727282E-2</v>
      </c>
      <c r="H162" s="13">
        <f t="shared" si="116"/>
        <v>34.01119932671115</v>
      </c>
      <c r="I162" s="13">
        <f t="shared" si="117"/>
        <v>0.14732437183041319</v>
      </c>
      <c r="J162" s="14">
        <f t="shared" si="152"/>
        <v>0.12792881591806132</v>
      </c>
    </row>
    <row r="163" spans="1:10" ht="16.5" x14ac:dyDescent="0.35">
      <c r="A163" s="10">
        <f t="shared" si="148"/>
        <v>162</v>
      </c>
      <c r="B163" s="1">
        <v>34.183593999999999</v>
      </c>
      <c r="C163" s="12">
        <f t="shared" ref="C163:D163" si="181">C162</f>
        <v>0.55000000000000004</v>
      </c>
      <c r="D163" s="12">
        <f t="shared" si="181"/>
        <v>1.4E-2</v>
      </c>
      <c r="E163" s="13">
        <f t="shared" si="113"/>
        <v>8.1028404506727283E-2</v>
      </c>
      <c r="F163" s="13">
        <f t="shared" si="114"/>
        <v>34.058253465502702</v>
      </c>
      <c r="G163" s="13">
        <f t="shared" si="115"/>
        <v>9.5028404506727282E-2</v>
      </c>
      <c r="H163" s="13">
        <f t="shared" si="116"/>
        <v>34.03659726366034</v>
      </c>
      <c r="I163" s="13">
        <f t="shared" si="117"/>
        <v>0.14732437183041319</v>
      </c>
      <c r="J163" s="14">
        <f t="shared" si="152"/>
        <v>0.13405958984384703</v>
      </c>
    </row>
    <row r="164" spans="1:10" ht="16.5" x14ac:dyDescent="0.35">
      <c r="A164" s="10">
        <f t="shared" si="148"/>
        <v>163</v>
      </c>
      <c r="B164" s="1">
        <v>34.476562999999999</v>
      </c>
      <c r="C164" s="12">
        <f t="shared" ref="C164:D164" si="182">C163</f>
        <v>0.55000000000000004</v>
      </c>
      <c r="D164" s="12">
        <f t="shared" si="182"/>
        <v>1.4E-2</v>
      </c>
      <c r="E164" s="13">
        <f t="shared" si="113"/>
        <v>8.1028404506727283E-2</v>
      </c>
      <c r="F164" s="13">
        <f t="shared" si="114"/>
        <v>34.119880654903191</v>
      </c>
      <c r="G164" s="13">
        <f t="shared" si="115"/>
        <v>9.5028404506727282E-2</v>
      </c>
      <c r="H164" s="13">
        <f t="shared" si="116"/>
        <v>34.058253465502702</v>
      </c>
      <c r="I164" s="13">
        <f t="shared" si="117"/>
        <v>0.14732437183041319</v>
      </c>
      <c r="J164" s="14">
        <f t="shared" si="152"/>
        <v>0.14836466622499001</v>
      </c>
    </row>
    <row r="165" spans="1:10" ht="16.5" x14ac:dyDescent="0.35">
      <c r="A165" s="10">
        <f t="shared" si="148"/>
        <v>164</v>
      </c>
      <c r="B165" s="1">
        <v>34.183593999999999</v>
      </c>
      <c r="C165" s="12">
        <f t="shared" ref="C165:D165" si="183">C164</f>
        <v>0.55000000000000004</v>
      </c>
      <c r="D165" s="12">
        <f t="shared" si="183"/>
        <v>1.4E-2</v>
      </c>
      <c r="E165" s="13">
        <f t="shared" ref="E165:E228" si="184">(1-I165)*G165</f>
        <v>8.1028404506727283E-2</v>
      </c>
      <c r="F165" s="13">
        <f t="shared" ref="F165:F228" si="185">H165+I165*(B165-H165)</f>
        <v>34.129267183446792</v>
      </c>
      <c r="G165" s="13">
        <f t="shared" ref="G165:G228" si="186">E164+D164</f>
        <v>9.5028404506727282E-2</v>
      </c>
      <c r="H165" s="13">
        <f t="shared" ref="H165:H228" si="187">F164</f>
        <v>34.119880654903191</v>
      </c>
      <c r="I165" s="13">
        <f t="shared" ref="I165:I228" si="188">G165/(G165+C165)</f>
        <v>0.14732437183041319</v>
      </c>
      <c r="J165" s="14">
        <f t="shared" si="152"/>
        <v>0.1373292773438472</v>
      </c>
    </row>
    <row r="166" spans="1:10" ht="16.5" x14ac:dyDescent="0.35">
      <c r="A166" s="10">
        <f t="shared" si="148"/>
        <v>165</v>
      </c>
      <c r="B166" s="1">
        <v>33.597656000000001</v>
      </c>
      <c r="C166" s="12">
        <f t="shared" ref="C166:D166" si="189">C165</f>
        <v>0.55000000000000004</v>
      </c>
      <c r="D166" s="12">
        <f t="shared" si="189"/>
        <v>1.4E-2</v>
      </c>
      <c r="E166" s="13">
        <f t="shared" si="184"/>
        <v>8.1028404506727283E-2</v>
      </c>
      <c r="F166" s="13">
        <f t="shared" si="185"/>
        <v>34.050947899787474</v>
      </c>
      <c r="G166" s="13">
        <f t="shared" si="186"/>
        <v>9.5028404506727282E-2</v>
      </c>
      <c r="H166" s="13">
        <f t="shared" si="187"/>
        <v>34.129267183446792</v>
      </c>
      <c r="I166" s="13">
        <f t="shared" si="188"/>
        <v>0.14732437183041319</v>
      </c>
      <c r="J166" s="14">
        <f t="shared" si="152"/>
        <v>0.1373292773438472</v>
      </c>
    </row>
    <row r="167" spans="1:10" ht="16.5" x14ac:dyDescent="0.35">
      <c r="A167" s="10">
        <f t="shared" si="148"/>
        <v>166</v>
      </c>
      <c r="B167" s="1">
        <v>33.597656000000001</v>
      </c>
      <c r="C167" s="12">
        <f t="shared" ref="C167:D167" si="190">C166</f>
        <v>0.55000000000000004</v>
      </c>
      <c r="D167" s="12">
        <f t="shared" si="190"/>
        <v>1.4E-2</v>
      </c>
      <c r="E167" s="13">
        <f t="shared" si="184"/>
        <v>8.1028404506727283E-2</v>
      </c>
      <c r="F167" s="13">
        <f t="shared" si="185"/>
        <v>33.984166955395473</v>
      </c>
      <c r="G167" s="13">
        <f t="shared" si="186"/>
        <v>9.5028404506727282E-2</v>
      </c>
      <c r="H167" s="13">
        <f t="shared" si="187"/>
        <v>34.050947899787474</v>
      </c>
      <c r="I167" s="13">
        <f t="shared" si="188"/>
        <v>0.14732437183041319</v>
      </c>
      <c r="J167" s="14">
        <f t="shared" si="152"/>
        <v>0.14141646135612812</v>
      </c>
    </row>
    <row r="168" spans="1:10" ht="16.5" x14ac:dyDescent="0.35">
      <c r="A168" s="10">
        <f t="shared" si="148"/>
        <v>167</v>
      </c>
      <c r="B168" s="1">
        <v>34.476562999999999</v>
      </c>
      <c r="C168" s="12">
        <f t="shared" ref="C168:D168" si="191">C167</f>
        <v>0.55000000000000004</v>
      </c>
      <c r="D168" s="12">
        <f t="shared" si="191"/>
        <v>1.4E-2</v>
      </c>
      <c r="E168" s="13">
        <f t="shared" si="184"/>
        <v>8.1028404506727283E-2</v>
      </c>
      <c r="F168" s="13">
        <f t="shared" si="185"/>
        <v>34.056708893358618</v>
      </c>
      <c r="G168" s="13">
        <f t="shared" si="186"/>
        <v>9.5028404506727282E-2</v>
      </c>
      <c r="H168" s="13">
        <f t="shared" si="187"/>
        <v>33.984166955395473</v>
      </c>
      <c r="I168" s="13">
        <f t="shared" si="188"/>
        <v>0.14732437183041319</v>
      </c>
      <c r="J168" s="14">
        <f t="shared" si="152"/>
        <v>0.1373292773438472</v>
      </c>
    </row>
    <row r="169" spans="1:10" ht="16.5" x14ac:dyDescent="0.35">
      <c r="A169" s="10">
        <f t="shared" si="148"/>
        <v>168</v>
      </c>
      <c r="B169" s="1">
        <v>33.597656000000001</v>
      </c>
      <c r="C169" s="12">
        <f t="shared" ref="C169:D169" si="192">C168</f>
        <v>0.55000000000000004</v>
      </c>
      <c r="D169" s="12">
        <f t="shared" si="192"/>
        <v>1.4E-2</v>
      </c>
      <c r="E169" s="13">
        <f t="shared" si="184"/>
        <v>8.1028404506727283E-2</v>
      </c>
      <c r="F169" s="13">
        <f t="shared" si="185"/>
        <v>33.989079214207628</v>
      </c>
      <c r="G169" s="13">
        <f t="shared" si="186"/>
        <v>9.5028404506727282E-2</v>
      </c>
      <c r="H169" s="13">
        <f t="shared" si="187"/>
        <v>34.056708893358618</v>
      </c>
      <c r="I169" s="13">
        <f t="shared" si="188"/>
        <v>0.14732437183041319</v>
      </c>
      <c r="J169" s="14">
        <f t="shared" si="152"/>
        <v>0.14141646135612812</v>
      </c>
    </row>
    <row r="170" spans="1:10" ht="16.5" x14ac:dyDescent="0.35">
      <c r="A170" s="10">
        <f t="shared" si="148"/>
        <v>169</v>
      </c>
      <c r="B170" s="1">
        <v>34.183593999999999</v>
      </c>
      <c r="C170" s="12">
        <f t="shared" ref="C170:D170" si="193">C169</f>
        <v>0.55000000000000004</v>
      </c>
      <c r="D170" s="12">
        <f t="shared" si="193"/>
        <v>1.4E-2</v>
      </c>
      <c r="E170" s="13">
        <f t="shared" si="184"/>
        <v>8.1028404506727283E-2</v>
      </c>
      <c r="F170" s="13">
        <f t="shared" si="185"/>
        <v>34.017735982836214</v>
      </c>
      <c r="G170" s="13">
        <f t="shared" si="186"/>
        <v>9.5028404506727282E-2</v>
      </c>
      <c r="H170" s="13">
        <f t="shared" si="187"/>
        <v>33.989079214207628</v>
      </c>
      <c r="I170" s="13">
        <f t="shared" si="188"/>
        <v>0.14732437183041319</v>
      </c>
      <c r="J170" s="14">
        <f t="shared" si="152"/>
        <v>0.14141646135612809</v>
      </c>
    </row>
    <row r="171" spans="1:10" ht="16.5" x14ac:dyDescent="0.35">
      <c r="A171" s="10">
        <f t="shared" si="148"/>
        <v>170</v>
      </c>
      <c r="B171" s="1">
        <v>34.476562999999999</v>
      </c>
      <c r="C171" s="12">
        <f t="shared" ref="C171:D171" si="194">C170</f>
        <v>0.55000000000000004</v>
      </c>
      <c r="D171" s="12">
        <f t="shared" si="194"/>
        <v>1.4E-2</v>
      </c>
      <c r="E171" s="13">
        <f t="shared" si="184"/>
        <v>8.1028404506727283E-2</v>
      </c>
      <c r="F171" s="13">
        <f t="shared" si="185"/>
        <v>34.085332384918694</v>
      </c>
      <c r="G171" s="13">
        <f t="shared" si="186"/>
        <v>9.5028404506727282E-2</v>
      </c>
      <c r="H171" s="13">
        <f t="shared" si="187"/>
        <v>34.017735982836214</v>
      </c>
      <c r="I171" s="13">
        <f t="shared" si="188"/>
        <v>0.14732437183041319</v>
      </c>
      <c r="J171" s="14">
        <f t="shared" si="152"/>
        <v>0.12547645333435675</v>
      </c>
    </row>
    <row r="172" spans="1:10" ht="16.5" x14ac:dyDescent="0.35">
      <c r="A172" s="10">
        <f t="shared" si="148"/>
        <v>171</v>
      </c>
      <c r="B172" s="1">
        <v>34.183593999999999</v>
      </c>
      <c r="C172" s="12">
        <f t="shared" ref="C172:D172" si="195">C171</f>
        <v>0.55000000000000004</v>
      </c>
      <c r="D172" s="12">
        <f t="shared" si="195"/>
        <v>1.4E-2</v>
      </c>
      <c r="E172" s="13">
        <f t="shared" si="184"/>
        <v>8.1028404506727283E-2</v>
      </c>
      <c r="F172" s="13">
        <f t="shared" si="185"/>
        <v>34.099808715635589</v>
      </c>
      <c r="G172" s="13">
        <f t="shared" si="186"/>
        <v>9.5028404506727282E-2</v>
      </c>
      <c r="H172" s="13">
        <f t="shared" si="187"/>
        <v>34.085332384918694</v>
      </c>
      <c r="I172" s="13">
        <f t="shared" si="188"/>
        <v>0.14732437183041319</v>
      </c>
      <c r="J172" s="14">
        <f t="shared" si="152"/>
        <v>0.12547645333435672</v>
      </c>
    </row>
    <row r="173" spans="1:10" ht="16.5" x14ac:dyDescent="0.35">
      <c r="A173" s="10">
        <f t="shared" si="148"/>
        <v>172</v>
      </c>
      <c r="B173" s="1">
        <v>34.476562999999999</v>
      </c>
      <c r="C173" s="12">
        <f t="shared" ref="C173:D173" si="196">C172</f>
        <v>0.55000000000000004</v>
      </c>
      <c r="D173" s="12">
        <f t="shared" si="196"/>
        <v>1.4E-2</v>
      </c>
      <c r="E173" s="13">
        <f t="shared" si="184"/>
        <v>8.1028404506727283E-2</v>
      </c>
      <c r="F173" s="13">
        <f t="shared" si="185"/>
        <v>34.155313803913991</v>
      </c>
      <c r="G173" s="13">
        <f t="shared" si="186"/>
        <v>9.5028404506727282E-2</v>
      </c>
      <c r="H173" s="13">
        <f t="shared" si="187"/>
        <v>34.099808715635589</v>
      </c>
      <c r="I173" s="13">
        <f t="shared" si="188"/>
        <v>0.14732437183041319</v>
      </c>
      <c r="J173" s="14">
        <f t="shared" si="152"/>
        <v>0.10585798095711396</v>
      </c>
    </row>
    <row r="174" spans="1:10" ht="16.5" x14ac:dyDescent="0.35">
      <c r="A174" s="10">
        <f t="shared" si="148"/>
        <v>173</v>
      </c>
      <c r="B174" s="1">
        <v>34.476562999999999</v>
      </c>
      <c r="C174" s="12">
        <f t="shared" ref="C174:D174" si="197">C173</f>
        <v>0.55000000000000004</v>
      </c>
      <c r="D174" s="12">
        <f t="shared" si="197"/>
        <v>1.4E-2</v>
      </c>
      <c r="E174" s="13">
        <f t="shared" si="184"/>
        <v>8.1028404506727283E-2</v>
      </c>
      <c r="F174" s="13">
        <f t="shared" si="185"/>
        <v>34.202641639928387</v>
      </c>
      <c r="G174" s="13">
        <f t="shared" si="186"/>
        <v>9.5028404506727282E-2</v>
      </c>
      <c r="H174" s="13">
        <f t="shared" si="187"/>
        <v>34.155313803913991</v>
      </c>
      <c r="I174" s="13">
        <f t="shared" si="188"/>
        <v>0.14732437183041319</v>
      </c>
      <c r="J174" s="14">
        <f t="shared" si="152"/>
        <v>0.10708413713736158</v>
      </c>
    </row>
    <row r="175" spans="1:10" ht="16.5" x14ac:dyDescent="0.35">
      <c r="A175" s="10">
        <f t="shared" si="148"/>
        <v>174</v>
      </c>
      <c r="B175" s="1">
        <v>34.476562999999999</v>
      </c>
      <c r="C175" s="12">
        <f t="shared" ref="C175:D175" si="198">C174</f>
        <v>0.55000000000000004</v>
      </c>
      <c r="D175" s="12">
        <f t="shared" si="198"/>
        <v>1.4E-2</v>
      </c>
      <c r="E175" s="13">
        <f t="shared" si="184"/>
        <v>8.1028404506727283E-2</v>
      </c>
      <c r="F175" s="13">
        <f t="shared" si="185"/>
        <v>34.242996932231868</v>
      </c>
      <c r="G175" s="13">
        <f t="shared" si="186"/>
        <v>9.5028404506727282E-2</v>
      </c>
      <c r="H175" s="13">
        <f t="shared" si="187"/>
        <v>34.202641639928387</v>
      </c>
      <c r="I175" s="13">
        <f t="shared" si="188"/>
        <v>0.14732437183041319</v>
      </c>
      <c r="J175" s="14">
        <f t="shared" si="152"/>
        <v>0.10708413713736158</v>
      </c>
    </row>
    <row r="176" spans="1:10" ht="16.5" x14ac:dyDescent="0.35">
      <c r="A176" s="10">
        <f t="shared" si="148"/>
        <v>175</v>
      </c>
      <c r="B176" s="1">
        <v>34.183593999999999</v>
      </c>
      <c r="C176" s="12">
        <f t="shared" ref="C176:D176" si="199">C175</f>
        <v>0.55000000000000004</v>
      </c>
      <c r="D176" s="12">
        <f t="shared" si="199"/>
        <v>1.4E-2</v>
      </c>
      <c r="E176" s="13">
        <f t="shared" si="184"/>
        <v>8.1028404506727283E-2</v>
      </c>
      <c r="F176" s="13">
        <f t="shared" si="185"/>
        <v>34.234245432555923</v>
      </c>
      <c r="G176" s="13">
        <f t="shared" si="186"/>
        <v>9.5028404506727282E-2</v>
      </c>
      <c r="H176" s="13">
        <f t="shared" si="187"/>
        <v>34.242996932231868</v>
      </c>
      <c r="I176" s="13">
        <f t="shared" si="188"/>
        <v>0.14732437183041319</v>
      </c>
      <c r="J176" s="14">
        <f t="shared" si="152"/>
        <v>0.11689333356594733</v>
      </c>
    </row>
    <row r="177" spans="1:10" ht="16.5" x14ac:dyDescent="0.35">
      <c r="A177" s="10">
        <f t="shared" si="148"/>
        <v>176</v>
      </c>
      <c r="B177" s="1">
        <v>33.597656000000001</v>
      </c>
      <c r="C177" s="12">
        <f t="shared" ref="C177:D177" si="200">C176</f>
        <v>0.55000000000000004</v>
      </c>
      <c r="D177" s="12">
        <f t="shared" si="200"/>
        <v>1.4E-2</v>
      </c>
      <c r="E177" s="13">
        <f t="shared" si="184"/>
        <v>8.1028404506727283E-2</v>
      </c>
      <c r="F177" s="13">
        <f t="shared" si="185"/>
        <v>34.14046029429074</v>
      </c>
      <c r="G177" s="13">
        <f t="shared" si="186"/>
        <v>9.5028404506727282E-2</v>
      </c>
      <c r="H177" s="13">
        <f t="shared" si="187"/>
        <v>34.234245432555923</v>
      </c>
      <c r="I177" s="13">
        <f t="shared" si="188"/>
        <v>0.14732437183041319</v>
      </c>
      <c r="J177" s="14">
        <f t="shared" si="152"/>
        <v>0.11648461251404736</v>
      </c>
    </row>
    <row r="178" spans="1:10" ht="16.5" x14ac:dyDescent="0.35">
      <c r="A178" s="10">
        <f t="shared" si="148"/>
        <v>177</v>
      </c>
      <c r="B178" s="1">
        <v>34.183593999999999</v>
      </c>
      <c r="C178" s="12">
        <f t="shared" ref="C178:D178" si="201">C177</f>
        <v>0.55000000000000004</v>
      </c>
      <c r="D178" s="12">
        <f t="shared" si="201"/>
        <v>1.4E-2</v>
      </c>
      <c r="E178" s="13">
        <f t="shared" si="184"/>
        <v>8.1028404506727283E-2</v>
      </c>
      <c r="F178" s="13">
        <f t="shared" si="185"/>
        <v>34.146814940389078</v>
      </c>
      <c r="G178" s="13">
        <f t="shared" si="186"/>
        <v>9.5028404506727282E-2</v>
      </c>
      <c r="H178" s="13">
        <f t="shared" si="187"/>
        <v>34.14046029429074</v>
      </c>
      <c r="I178" s="13">
        <f t="shared" si="188"/>
        <v>0.14732437183041319</v>
      </c>
      <c r="J178" s="14">
        <f t="shared" si="152"/>
        <v>0.11648461251404738</v>
      </c>
    </row>
    <row r="179" spans="1:10" ht="16.5" x14ac:dyDescent="0.35">
      <c r="A179" s="10">
        <f t="shared" si="148"/>
        <v>178</v>
      </c>
      <c r="B179" s="1">
        <v>33.597656000000001</v>
      </c>
      <c r="C179" s="12">
        <f t="shared" ref="C179:D179" si="202">C178</f>
        <v>0.55000000000000004</v>
      </c>
      <c r="D179" s="12">
        <f t="shared" si="202"/>
        <v>1.4E-2</v>
      </c>
      <c r="E179" s="13">
        <f t="shared" si="184"/>
        <v>8.1028404506727283E-2</v>
      </c>
      <c r="F179" s="13">
        <f t="shared" si="185"/>
        <v>34.065910444461203</v>
      </c>
      <c r="G179" s="13">
        <f t="shared" si="186"/>
        <v>9.5028404506727282E-2</v>
      </c>
      <c r="H179" s="13">
        <f t="shared" si="187"/>
        <v>34.146814940389078</v>
      </c>
      <c r="I179" s="13">
        <f t="shared" si="188"/>
        <v>0.14732437183041319</v>
      </c>
      <c r="J179" s="14">
        <f t="shared" si="152"/>
        <v>0.11648461251404736</v>
      </c>
    </row>
    <row r="180" spans="1:10" ht="16.5" x14ac:dyDescent="0.35">
      <c r="A180" s="10">
        <f t="shared" si="148"/>
        <v>179</v>
      </c>
      <c r="B180" s="1">
        <v>34.476562999999999</v>
      </c>
      <c r="C180" s="12">
        <f t="shared" ref="C180:D180" si="203">C179</f>
        <v>0.55000000000000004</v>
      </c>
      <c r="D180" s="12">
        <f t="shared" si="203"/>
        <v>1.4E-2</v>
      </c>
      <c r="E180" s="13">
        <f t="shared" si="184"/>
        <v>8.1028404506727283E-2</v>
      </c>
      <c r="F180" s="13">
        <f t="shared" si="185"/>
        <v>34.126409574246509</v>
      </c>
      <c r="G180" s="13">
        <f t="shared" si="186"/>
        <v>9.5028404506727282E-2</v>
      </c>
      <c r="H180" s="13">
        <f t="shared" si="187"/>
        <v>34.065910444461203</v>
      </c>
      <c r="I180" s="13">
        <f t="shared" si="188"/>
        <v>0.14732437183041319</v>
      </c>
      <c r="J180" s="14">
        <f t="shared" si="152"/>
        <v>0.12547637660446173</v>
      </c>
    </row>
    <row r="181" spans="1:10" ht="16.5" x14ac:dyDescent="0.35">
      <c r="A181" s="10">
        <f t="shared" si="148"/>
        <v>180</v>
      </c>
      <c r="B181" s="1">
        <v>34.769531000000001</v>
      </c>
      <c r="C181" s="12">
        <f t="shared" ref="C181:D181" si="204">C180</f>
        <v>0.55000000000000004</v>
      </c>
      <c r="D181" s="12">
        <f t="shared" si="204"/>
        <v>1.4E-2</v>
      </c>
      <c r="E181" s="13">
        <f t="shared" si="184"/>
        <v>8.1028404506727283E-2</v>
      </c>
      <c r="F181" s="13">
        <f t="shared" si="185"/>
        <v>34.221157034306323</v>
      </c>
      <c r="G181" s="13">
        <f t="shared" si="186"/>
        <v>9.5028404506727282E-2</v>
      </c>
      <c r="H181" s="13">
        <f t="shared" si="187"/>
        <v>34.126409574246509</v>
      </c>
      <c r="I181" s="13">
        <f t="shared" si="188"/>
        <v>0.14732437183041319</v>
      </c>
      <c r="J181" s="14">
        <f t="shared" si="152"/>
        <v>0.10422300606874753</v>
      </c>
    </row>
    <row r="182" spans="1:10" ht="16.5" x14ac:dyDescent="0.35">
      <c r="A182" s="10">
        <f t="shared" si="148"/>
        <v>181</v>
      </c>
      <c r="B182" s="1">
        <v>34.476562999999999</v>
      </c>
      <c r="C182" s="12">
        <f t="shared" ref="C182:D182" si="205">C181</f>
        <v>0.55000000000000004</v>
      </c>
      <c r="D182" s="12">
        <f t="shared" si="205"/>
        <v>1.4E-2</v>
      </c>
      <c r="E182" s="13">
        <f t="shared" si="184"/>
        <v>8.1028404506727283E-2</v>
      </c>
      <c r="F182" s="13">
        <f t="shared" si="185"/>
        <v>34.258784557763882</v>
      </c>
      <c r="G182" s="13">
        <f t="shared" si="186"/>
        <v>9.5028404506727282E-2</v>
      </c>
      <c r="H182" s="13">
        <f t="shared" si="187"/>
        <v>34.221157034306323</v>
      </c>
      <c r="I182" s="13">
        <f t="shared" si="188"/>
        <v>0.14732437183041319</v>
      </c>
      <c r="J182" s="14">
        <f t="shared" si="152"/>
        <v>0.10831016496942855</v>
      </c>
    </row>
    <row r="183" spans="1:10" ht="16.5" x14ac:dyDescent="0.35">
      <c r="A183" s="10">
        <f t="shared" si="148"/>
        <v>182</v>
      </c>
      <c r="B183" s="1">
        <v>34.183593999999999</v>
      </c>
      <c r="C183" s="12">
        <f t="shared" ref="C183:D183" si="206">C182</f>
        <v>0.55000000000000004</v>
      </c>
      <c r="D183" s="12">
        <f t="shared" si="206"/>
        <v>1.4E-2</v>
      </c>
      <c r="E183" s="13">
        <f t="shared" si="184"/>
        <v>8.1028404506727283E-2</v>
      </c>
      <c r="F183" s="13">
        <f t="shared" si="185"/>
        <v>34.247707156073737</v>
      </c>
      <c r="G183" s="13">
        <f t="shared" si="186"/>
        <v>9.5028404506727282E-2</v>
      </c>
      <c r="H183" s="13">
        <f t="shared" si="187"/>
        <v>34.258784557763882</v>
      </c>
      <c r="I183" s="13">
        <f t="shared" si="188"/>
        <v>0.14732437183041319</v>
      </c>
      <c r="J183" s="14">
        <f t="shared" si="152"/>
        <v>7.7247575683714431E-2</v>
      </c>
    </row>
    <row r="184" spans="1:10" ht="16.5" x14ac:dyDescent="0.35">
      <c r="A184" s="10">
        <f t="shared" si="148"/>
        <v>183</v>
      </c>
      <c r="B184" s="1">
        <v>34.476562999999999</v>
      </c>
      <c r="C184" s="12">
        <f t="shared" ref="C184:D184" si="207">C183</f>
        <v>0.55000000000000004</v>
      </c>
      <c r="D184" s="12">
        <f t="shared" si="207"/>
        <v>1.4E-2</v>
      </c>
      <c r="E184" s="13">
        <f t="shared" si="184"/>
        <v>8.1028404506727283E-2</v>
      </c>
      <c r="F184" s="13">
        <f t="shared" si="185"/>
        <v>34.281423199519892</v>
      </c>
      <c r="G184" s="13">
        <f t="shared" si="186"/>
        <v>9.5028404506727282E-2</v>
      </c>
      <c r="H184" s="13">
        <f t="shared" si="187"/>
        <v>34.247707156073737</v>
      </c>
      <c r="I184" s="13">
        <f t="shared" si="188"/>
        <v>0.14732437183041319</v>
      </c>
      <c r="J184" s="14">
        <f t="shared" si="152"/>
        <v>0.11403219412680002</v>
      </c>
    </row>
    <row r="185" spans="1:10" ht="16.5" x14ac:dyDescent="0.35">
      <c r="A185" s="10">
        <f t="shared" si="148"/>
        <v>184</v>
      </c>
      <c r="B185" s="1">
        <v>34.183593999999999</v>
      </c>
      <c r="C185" s="12">
        <f t="shared" ref="C185:D185" si="208">C184</f>
        <v>0.55000000000000004</v>
      </c>
      <c r="D185" s="12">
        <f t="shared" si="208"/>
        <v>1.4E-2</v>
      </c>
      <c r="E185" s="13">
        <f t="shared" si="184"/>
        <v>8.1028404506727283E-2</v>
      </c>
      <c r="F185" s="13">
        <f t="shared" si="185"/>
        <v>34.26701057415395</v>
      </c>
      <c r="G185" s="13">
        <f t="shared" si="186"/>
        <v>9.5028404506727282E-2</v>
      </c>
      <c r="H185" s="13">
        <f t="shared" si="187"/>
        <v>34.281423199519892</v>
      </c>
      <c r="I185" s="13">
        <f t="shared" si="188"/>
        <v>0.14732437183041319</v>
      </c>
      <c r="J185" s="14">
        <f t="shared" si="152"/>
        <v>0.12792859409889049</v>
      </c>
    </row>
    <row r="186" spans="1:10" ht="16.5" x14ac:dyDescent="0.35">
      <c r="A186" s="10">
        <f t="shared" si="148"/>
        <v>185</v>
      </c>
      <c r="B186" s="1">
        <v>34.476562999999999</v>
      </c>
      <c r="C186" s="12">
        <f t="shared" ref="C186:D186" si="209">C185</f>
        <v>0.55000000000000004</v>
      </c>
      <c r="D186" s="12">
        <f t="shared" si="209"/>
        <v>1.4E-2</v>
      </c>
      <c r="E186" s="13">
        <f t="shared" si="184"/>
        <v>8.1028404506727283E-2</v>
      </c>
      <c r="F186" s="13">
        <f t="shared" si="185"/>
        <v>34.297882753657255</v>
      </c>
      <c r="G186" s="13">
        <f t="shared" si="186"/>
        <v>9.5028404506727282E-2</v>
      </c>
      <c r="H186" s="13">
        <f t="shared" si="187"/>
        <v>34.26701057415395</v>
      </c>
      <c r="I186" s="13">
        <f t="shared" si="188"/>
        <v>0.14732437183041319</v>
      </c>
      <c r="J186" s="14">
        <f t="shared" si="152"/>
        <v>0.13283319091809051</v>
      </c>
    </row>
    <row r="187" spans="1:10" ht="16.5" x14ac:dyDescent="0.35">
      <c r="A187" s="10">
        <f t="shared" si="148"/>
        <v>186</v>
      </c>
      <c r="B187" s="1">
        <v>33.597656000000001</v>
      </c>
      <c r="C187" s="12">
        <f t="shared" ref="C187:D187" si="210">C186</f>
        <v>0.55000000000000004</v>
      </c>
      <c r="D187" s="12">
        <f t="shared" si="210"/>
        <v>1.4E-2</v>
      </c>
      <c r="E187" s="13">
        <f t="shared" si="184"/>
        <v>8.1028404506727283E-2</v>
      </c>
      <c r="F187" s="13">
        <f t="shared" si="185"/>
        <v>34.194722287035852</v>
      </c>
      <c r="G187" s="13">
        <f t="shared" si="186"/>
        <v>9.5028404506727282E-2</v>
      </c>
      <c r="H187" s="13">
        <f t="shared" si="187"/>
        <v>34.297882753657255</v>
      </c>
      <c r="I187" s="13">
        <f t="shared" si="188"/>
        <v>0.14732437183041319</v>
      </c>
      <c r="J187" s="14">
        <f t="shared" si="152"/>
        <v>0.12874601806653335</v>
      </c>
    </row>
    <row r="188" spans="1:10" ht="16.5" x14ac:dyDescent="0.35">
      <c r="A188" s="10">
        <f t="shared" si="148"/>
        <v>187</v>
      </c>
      <c r="B188" s="1">
        <v>34.476562999999999</v>
      </c>
      <c r="C188" s="12">
        <f t="shared" ref="C188:D188" si="211">C187</f>
        <v>0.55000000000000004</v>
      </c>
      <c r="D188" s="12">
        <f t="shared" si="211"/>
        <v>1.4E-2</v>
      </c>
      <c r="E188" s="13">
        <f t="shared" si="184"/>
        <v>8.1028404506727283E-2</v>
      </c>
      <c r="F188" s="13">
        <f t="shared" si="185"/>
        <v>34.236244293029529</v>
      </c>
      <c r="G188" s="13">
        <f t="shared" si="186"/>
        <v>9.5028404506727282E-2</v>
      </c>
      <c r="H188" s="13">
        <f t="shared" si="187"/>
        <v>34.194722287035852</v>
      </c>
      <c r="I188" s="13">
        <f t="shared" si="188"/>
        <v>0.14732437183041319</v>
      </c>
      <c r="J188" s="14">
        <f t="shared" si="152"/>
        <v>0.12874601806653335</v>
      </c>
    </row>
    <row r="189" spans="1:10" ht="16.5" x14ac:dyDescent="0.35">
      <c r="A189" s="10">
        <f t="shared" si="148"/>
        <v>188</v>
      </c>
      <c r="B189" s="1">
        <v>34.476562999999999</v>
      </c>
      <c r="C189" s="12">
        <f t="shared" ref="C189:D189" si="212">C188</f>
        <v>0.55000000000000004</v>
      </c>
      <c r="D189" s="12">
        <f t="shared" si="212"/>
        <v>1.4E-2</v>
      </c>
      <c r="E189" s="13">
        <f t="shared" si="184"/>
        <v>8.1028404506727283E-2</v>
      </c>
      <c r="F189" s="13">
        <f t="shared" si="185"/>
        <v>34.271649095573054</v>
      </c>
      <c r="G189" s="13">
        <f t="shared" si="186"/>
        <v>9.5028404506727282E-2</v>
      </c>
      <c r="H189" s="13">
        <f t="shared" si="187"/>
        <v>34.236244293029529</v>
      </c>
      <c r="I189" s="13">
        <f t="shared" si="188"/>
        <v>0.14732437183041319</v>
      </c>
      <c r="J189" s="14">
        <f t="shared" si="152"/>
        <v>0.12792857456765719</v>
      </c>
    </row>
    <row r="190" spans="1:10" ht="16.5" x14ac:dyDescent="0.35">
      <c r="A190" s="10">
        <f t="shared" si="148"/>
        <v>189</v>
      </c>
      <c r="B190" s="1">
        <v>34.476562999999999</v>
      </c>
      <c r="C190" s="12">
        <f t="shared" ref="C190:D190" si="213">C189</f>
        <v>0.55000000000000004</v>
      </c>
      <c r="D190" s="12">
        <f t="shared" si="213"/>
        <v>1.4E-2</v>
      </c>
      <c r="E190" s="13">
        <f t="shared" si="184"/>
        <v>8.1028404506727283E-2</v>
      </c>
      <c r="F190" s="13">
        <f t="shared" si="185"/>
        <v>34.301837907822069</v>
      </c>
      <c r="G190" s="13">
        <f t="shared" si="186"/>
        <v>9.5028404506727282E-2</v>
      </c>
      <c r="H190" s="13">
        <f t="shared" si="187"/>
        <v>34.271649095573054</v>
      </c>
      <c r="I190" s="13">
        <f t="shared" si="188"/>
        <v>0.14732437183041319</v>
      </c>
      <c r="J190" s="14">
        <f t="shared" si="152"/>
        <v>0.13119830671051438</v>
      </c>
    </row>
    <row r="191" spans="1:10" ht="16.5" x14ac:dyDescent="0.35">
      <c r="A191" s="10">
        <f t="shared" si="148"/>
        <v>190</v>
      </c>
      <c r="B191" s="1">
        <v>34.476562999999999</v>
      </c>
      <c r="C191" s="12">
        <f t="shared" ref="C191:D191" si="214">C190</f>
        <v>0.55000000000000004</v>
      </c>
      <c r="D191" s="12">
        <f t="shared" si="214"/>
        <v>1.4E-2</v>
      </c>
      <c r="E191" s="13">
        <f t="shared" si="184"/>
        <v>8.1028404506727283E-2</v>
      </c>
      <c r="F191" s="13">
        <f t="shared" si="185"/>
        <v>34.327579172270191</v>
      </c>
      <c r="G191" s="13">
        <f t="shared" si="186"/>
        <v>9.5028404506727282E-2</v>
      </c>
      <c r="H191" s="13">
        <f t="shared" si="187"/>
        <v>34.301837907822069</v>
      </c>
      <c r="I191" s="13">
        <f t="shared" si="188"/>
        <v>0.14732437183041319</v>
      </c>
      <c r="J191" s="14">
        <f t="shared" si="152"/>
        <v>8.8691638183728744E-2</v>
      </c>
    </row>
    <row r="192" spans="1:10" ht="16.5" x14ac:dyDescent="0.35">
      <c r="A192" s="10">
        <f t="shared" si="148"/>
        <v>191</v>
      </c>
      <c r="B192" s="1">
        <v>34.476562999999999</v>
      </c>
      <c r="C192" s="12">
        <f t="shared" ref="C192:D192" si="215">C191</f>
        <v>0.55000000000000004</v>
      </c>
      <c r="D192" s="12">
        <f t="shared" si="215"/>
        <v>1.4E-2</v>
      </c>
      <c r="E192" s="13">
        <f t="shared" si="184"/>
        <v>8.1028404506727283E-2</v>
      </c>
      <c r="F192" s="13">
        <f t="shared" si="185"/>
        <v>34.349528121103376</v>
      </c>
      <c r="G192" s="13">
        <f t="shared" si="186"/>
        <v>9.5028404506727282E-2</v>
      </c>
      <c r="H192" s="13">
        <f t="shared" si="187"/>
        <v>34.327579172270191</v>
      </c>
      <c r="I192" s="13">
        <f t="shared" si="188"/>
        <v>0.14732437183041319</v>
      </c>
      <c r="J192" s="14">
        <f t="shared" si="152"/>
        <v>9.9318294852247788E-2</v>
      </c>
    </row>
    <row r="193" spans="1:10" ht="16.5" x14ac:dyDescent="0.35">
      <c r="A193" s="10">
        <f t="shared" si="148"/>
        <v>192</v>
      </c>
      <c r="B193" s="1">
        <v>34.769531000000001</v>
      </c>
      <c r="C193" s="12">
        <f t="shared" ref="C193:D193" si="216">C192</f>
        <v>0.55000000000000004</v>
      </c>
      <c r="D193" s="12">
        <f t="shared" si="216"/>
        <v>1.4E-2</v>
      </c>
      <c r="E193" s="13">
        <f t="shared" si="184"/>
        <v>8.1028404506727283E-2</v>
      </c>
      <c r="F193" s="13">
        <f t="shared" si="185"/>
        <v>34.411404781403789</v>
      </c>
      <c r="G193" s="13">
        <f t="shared" si="186"/>
        <v>9.5028404506727282E-2</v>
      </c>
      <c r="H193" s="13">
        <f t="shared" si="187"/>
        <v>34.349528121103376</v>
      </c>
      <c r="I193" s="13">
        <f t="shared" si="188"/>
        <v>0.14732437183041319</v>
      </c>
      <c r="J193" s="14">
        <f t="shared" si="152"/>
        <v>0.10708392647891449</v>
      </c>
    </row>
    <row r="194" spans="1:10" ht="16.5" x14ac:dyDescent="0.35">
      <c r="A194" s="10">
        <f t="shared" si="148"/>
        <v>193</v>
      </c>
      <c r="B194" s="1">
        <v>34.183593999999999</v>
      </c>
      <c r="C194" s="12">
        <f t="shared" ref="C194:D194" si="217">C193</f>
        <v>0.55000000000000004</v>
      </c>
      <c r="D194" s="12">
        <f t="shared" si="217"/>
        <v>1.4E-2</v>
      </c>
      <c r="E194" s="13">
        <f t="shared" si="184"/>
        <v>8.1028404506727283E-2</v>
      </c>
      <c r="F194" s="13">
        <f t="shared" si="185"/>
        <v>34.377842701137283</v>
      </c>
      <c r="G194" s="13">
        <f t="shared" si="186"/>
        <v>9.5028404506727282E-2</v>
      </c>
      <c r="H194" s="13">
        <f t="shared" si="187"/>
        <v>34.411404781403789</v>
      </c>
      <c r="I194" s="13">
        <f t="shared" si="188"/>
        <v>0.14732437183041319</v>
      </c>
      <c r="J194" s="14">
        <f t="shared" si="152"/>
        <v>0.1079013616072573</v>
      </c>
    </row>
    <row r="195" spans="1:10" ht="16.5" x14ac:dyDescent="0.35">
      <c r="A195" s="10">
        <f t="shared" si="148"/>
        <v>194</v>
      </c>
      <c r="B195" s="1">
        <v>34.476562999999999</v>
      </c>
      <c r="C195" s="12">
        <f t="shared" ref="C195:D195" si="218">C194</f>
        <v>0.55000000000000004</v>
      </c>
      <c r="D195" s="12">
        <f t="shared" si="218"/>
        <v>1.4E-2</v>
      </c>
      <c r="E195" s="13">
        <f t="shared" si="184"/>
        <v>8.1028404506727283E-2</v>
      </c>
      <c r="F195" s="13">
        <f t="shared" si="185"/>
        <v>34.392386607154144</v>
      </c>
      <c r="G195" s="13">
        <f t="shared" si="186"/>
        <v>9.5028404506727282E-2</v>
      </c>
      <c r="H195" s="13">
        <f t="shared" si="187"/>
        <v>34.377842701137283</v>
      </c>
      <c r="I195" s="13">
        <f t="shared" si="188"/>
        <v>0.14732437183041319</v>
      </c>
      <c r="J195" s="14">
        <f t="shared" si="152"/>
        <v>0.10831008126405735</v>
      </c>
    </row>
    <row r="196" spans="1:10" ht="16.5" x14ac:dyDescent="0.35">
      <c r="A196" s="10">
        <f t="shared" ref="A196:A259" si="219">A195+1</f>
        <v>195</v>
      </c>
      <c r="B196" s="1">
        <v>34.476562999999999</v>
      </c>
      <c r="C196" s="12">
        <f t="shared" ref="C196:D196" si="220">C195</f>
        <v>0.55000000000000004</v>
      </c>
      <c r="D196" s="12">
        <f t="shared" si="220"/>
        <v>1.4E-2</v>
      </c>
      <c r="E196" s="13">
        <f t="shared" si="184"/>
        <v>8.1028404506727283E-2</v>
      </c>
      <c r="F196" s="13">
        <f t="shared" si="185"/>
        <v>34.404787841353112</v>
      </c>
      <c r="G196" s="13">
        <f t="shared" si="186"/>
        <v>9.5028404506727282E-2</v>
      </c>
      <c r="H196" s="13">
        <f t="shared" si="187"/>
        <v>34.392386607154144</v>
      </c>
      <c r="I196" s="13">
        <f t="shared" si="188"/>
        <v>0.14732437183041319</v>
      </c>
      <c r="J196" s="14">
        <f t="shared" si="152"/>
        <v>0.10831008544931445</v>
      </c>
    </row>
    <row r="197" spans="1:10" ht="16.5" x14ac:dyDescent="0.35">
      <c r="A197" s="10">
        <f t="shared" si="219"/>
        <v>196</v>
      </c>
      <c r="B197" s="1">
        <v>34.769531000000001</v>
      </c>
      <c r="C197" s="12">
        <f t="shared" ref="C197:D197" si="221">C196</f>
        <v>0.55000000000000004</v>
      </c>
      <c r="D197" s="12">
        <f t="shared" si="221"/>
        <v>1.4E-2</v>
      </c>
      <c r="E197" s="13">
        <f t="shared" si="184"/>
        <v>8.1028404506727283E-2</v>
      </c>
      <c r="F197" s="13">
        <f t="shared" si="185"/>
        <v>34.458523398080203</v>
      </c>
      <c r="G197" s="13">
        <f t="shared" si="186"/>
        <v>9.5028404506727282E-2</v>
      </c>
      <c r="H197" s="13">
        <f t="shared" si="187"/>
        <v>34.404787841353112</v>
      </c>
      <c r="I197" s="13">
        <f t="shared" si="188"/>
        <v>0.14732437183041319</v>
      </c>
      <c r="J197" s="14">
        <f t="shared" si="152"/>
        <v>0.10831008544931445</v>
      </c>
    </row>
    <row r="198" spans="1:10" ht="16.5" x14ac:dyDescent="0.35">
      <c r="A198" s="10">
        <f t="shared" si="219"/>
        <v>197</v>
      </c>
      <c r="B198" s="1">
        <v>34.769531000000001</v>
      </c>
      <c r="C198" s="12">
        <f t="shared" ref="C198:D198" si="222">C197</f>
        <v>0.55000000000000004</v>
      </c>
      <c r="D198" s="12">
        <f t="shared" si="222"/>
        <v>1.4E-2</v>
      </c>
      <c r="E198" s="13">
        <f t="shared" si="184"/>
        <v>8.1028404506727283E-2</v>
      </c>
      <c r="F198" s="13">
        <f t="shared" si="185"/>
        <v>34.504342397667521</v>
      </c>
      <c r="G198" s="13">
        <f t="shared" si="186"/>
        <v>9.5028404506727282E-2</v>
      </c>
      <c r="H198" s="13">
        <f t="shared" si="187"/>
        <v>34.458523398080203</v>
      </c>
      <c r="I198" s="13">
        <f t="shared" si="188"/>
        <v>0.14732437183041319</v>
      </c>
      <c r="J198" s="14">
        <f t="shared" ref="J198:J261" si="223">_xlfn.VAR.S(B195:B215)</f>
        <v>9.9318303222762069E-2</v>
      </c>
    </row>
    <row r="199" spans="1:10" ht="16.5" x14ac:dyDescent="0.35">
      <c r="A199" s="10">
        <f t="shared" si="219"/>
        <v>198</v>
      </c>
      <c r="B199" s="1">
        <v>34.769531000000001</v>
      </c>
      <c r="C199" s="12">
        <f t="shared" ref="C199:D199" si="224">C198</f>
        <v>0.55000000000000004</v>
      </c>
      <c r="D199" s="12">
        <f t="shared" si="224"/>
        <v>1.4E-2</v>
      </c>
      <c r="E199" s="13">
        <f t="shared" si="184"/>
        <v>8.1028404506727283E-2</v>
      </c>
      <c r="F199" s="13">
        <f t="shared" si="185"/>
        <v>34.543411141922739</v>
      </c>
      <c r="G199" s="13">
        <f t="shared" si="186"/>
        <v>9.5028404506727282E-2</v>
      </c>
      <c r="H199" s="13">
        <f t="shared" si="187"/>
        <v>34.504342397667521</v>
      </c>
      <c r="I199" s="13">
        <f t="shared" si="188"/>
        <v>0.14732437183041319</v>
      </c>
      <c r="J199" s="14">
        <f t="shared" si="223"/>
        <v>9.8500875069847699E-2</v>
      </c>
    </row>
    <row r="200" spans="1:10" ht="16.5" x14ac:dyDescent="0.35">
      <c r="A200" s="10">
        <f t="shared" si="219"/>
        <v>199</v>
      </c>
      <c r="B200" s="1">
        <v>34.769531000000001</v>
      </c>
      <c r="C200" s="12">
        <f t="shared" ref="C200:D200" si="225">C199</f>
        <v>0.55000000000000004</v>
      </c>
      <c r="D200" s="12">
        <f t="shared" si="225"/>
        <v>1.4E-2</v>
      </c>
      <c r="E200" s="13">
        <f t="shared" si="184"/>
        <v>8.1028404506727283E-2</v>
      </c>
      <c r="F200" s="13">
        <f t="shared" si="185"/>
        <v>34.576724107972353</v>
      </c>
      <c r="G200" s="13">
        <f t="shared" si="186"/>
        <v>9.5028404506727282E-2</v>
      </c>
      <c r="H200" s="13">
        <f t="shared" si="187"/>
        <v>34.543411141922739</v>
      </c>
      <c r="I200" s="13">
        <f t="shared" si="188"/>
        <v>0.14732437183041319</v>
      </c>
      <c r="J200" s="14">
        <f t="shared" si="223"/>
        <v>9.7274731445390575E-2</v>
      </c>
    </row>
    <row r="201" spans="1:10" ht="16.5" x14ac:dyDescent="0.35">
      <c r="A201" s="10">
        <f t="shared" si="219"/>
        <v>200</v>
      </c>
      <c r="B201" s="1">
        <v>33.597656000000001</v>
      </c>
      <c r="C201" s="12">
        <f t="shared" ref="C201:D201" si="226">C200</f>
        <v>0.55000000000000004</v>
      </c>
      <c r="D201" s="12">
        <f t="shared" si="226"/>
        <v>1.4E-2</v>
      </c>
      <c r="E201" s="13">
        <f t="shared" si="184"/>
        <v>8.1028404506727283E-2</v>
      </c>
      <c r="F201" s="13">
        <f t="shared" si="185"/>
        <v>34.432483513986135</v>
      </c>
      <c r="G201" s="13">
        <f t="shared" si="186"/>
        <v>9.5028404506727282E-2</v>
      </c>
      <c r="H201" s="13">
        <f t="shared" si="187"/>
        <v>34.576724107972353</v>
      </c>
      <c r="I201" s="13">
        <f t="shared" si="188"/>
        <v>0.14732437183041319</v>
      </c>
      <c r="J201" s="14">
        <f t="shared" si="223"/>
        <v>9.7274731445390644E-2</v>
      </c>
    </row>
    <row r="202" spans="1:10" ht="16.5" x14ac:dyDescent="0.35">
      <c r="A202" s="10">
        <f t="shared" si="219"/>
        <v>201</v>
      </c>
      <c r="B202" s="1">
        <v>35.0625</v>
      </c>
      <c r="C202" s="12">
        <f t="shared" ref="C202:D202" si="227">C201</f>
        <v>0.55000000000000004</v>
      </c>
      <c r="D202" s="12">
        <f t="shared" si="227"/>
        <v>1.4E-2</v>
      </c>
      <c r="E202" s="13">
        <f t="shared" si="184"/>
        <v>8.1028404506727283E-2</v>
      </c>
      <c r="F202" s="13">
        <f t="shared" si="185"/>
        <v>34.525300297030931</v>
      </c>
      <c r="G202" s="13">
        <f t="shared" si="186"/>
        <v>9.5028404506727282E-2</v>
      </c>
      <c r="H202" s="13">
        <f t="shared" si="187"/>
        <v>34.432483513986135</v>
      </c>
      <c r="I202" s="13">
        <f t="shared" si="188"/>
        <v>0.14732437183041319</v>
      </c>
      <c r="J202" s="14">
        <f t="shared" si="223"/>
        <v>9.8500875069847713E-2</v>
      </c>
    </row>
    <row r="203" spans="1:10" ht="16.5" x14ac:dyDescent="0.35">
      <c r="A203" s="10">
        <f t="shared" si="219"/>
        <v>202</v>
      </c>
      <c r="B203" s="1">
        <v>34.769531000000001</v>
      </c>
      <c r="C203" s="12">
        <f t="shared" ref="C203:D203" si="228">C202</f>
        <v>0.55000000000000004</v>
      </c>
      <c r="D203" s="12">
        <f t="shared" si="228"/>
        <v>1.4E-2</v>
      </c>
      <c r="E203" s="13">
        <f t="shared" si="184"/>
        <v>8.1028404506727283E-2</v>
      </c>
      <c r="F203" s="13">
        <f t="shared" si="185"/>
        <v>34.561281431927547</v>
      </c>
      <c r="G203" s="13">
        <f t="shared" si="186"/>
        <v>9.5028404506727282E-2</v>
      </c>
      <c r="H203" s="13">
        <f t="shared" si="187"/>
        <v>34.525300297030931</v>
      </c>
      <c r="I203" s="13">
        <f t="shared" si="188"/>
        <v>0.14732437183041319</v>
      </c>
      <c r="J203" s="14">
        <f t="shared" si="223"/>
        <v>9.8500875069847699E-2</v>
      </c>
    </row>
    <row r="204" spans="1:10" ht="16.5" x14ac:dyDescent="0.35">
      <c r="A204" s="10">
        <f t="shared" si="219"/>
        <v>203</v>
      </c>
      <c r="B204" s="1">
        <v>34.476562999999999</v>
      </c>
      <c r="C204" s="12">
        <f t="shared" ref="C204:D204" si="229">C203</f>
        <v>0.55000000000000004</v>
      </c>
      <c r="D204" s="12">
        <f t="shared" si="229"/>
        <v>1.4E-2</v>
      </c>
      <c r="E204" s="13">
        <f t="shared" si="184"/>
        <v>8.1028404506727283E-2</v>
      </c>
      <c r="F204" s="13">
        <f t="shared" si="185"/>
        <v>34.548800342161364</v>
      </c>
      <c r="G204" s="13">
        <f t="shared" si="186"/>
        <v>9.5028404506727282E-2</v>
      </c>
      <c r="H204" s="13">
        <f t="shared" si="187"/>
        <v>34.561281431927547</v>
      </c>
      <c r="I204" s="13">
        <f t="shared" si="188"/>
        <v>0.14732437183041319</v>
      </c>
      <c r="J204" s="14">
        <f t="shared" si="223"/>
        <v>9.8500875069847699E-2</v>
      </c>
    </row>
    <row r="205" spans="1:10" ht="16.5" x14ac:dyDescent="0.35">
      <c r="A205" s="10">
        <f t="shared" si="219"/>
        <v>204</v>
      </c>
      <c r="B205" s="1">
        <v>34.476562999999999</v>
      </c>
      <c r="C205" s="12">
        <f t="shared" ref="C205:D205" si="230">C204</f>
        <v>0.55000000000000004</v>
      </c>
      <c r="D205" s="12">
        <f t="shared" si="230"/>
        <v>1.4E-2</v>
      </c>
      <c r="E205" s="13">
        <f t="shared" si="184"/>
        <v>8.1028404506727283E-2</v>
      </c>
      <c r="F205" s="13">
        <f t="shared" si="185"/>
        <v>34.538158021104742</v>
      </c>
      <c r="G205" s="13">
        <f t="shared" si="186"/>
        <v>9.5028404506727282E-2</v>
      </c>
      <c r="H205" s="13">
        <f t="shared" si="187"/>
        <v>34.548800342161364</v>
      </c>
      <c r="I205" s="13">
        <f t="shared" si="188"/>
        <v>0.14732437183041319</v>
      </c>
      <c r="J205" s="14">
        <f t="shared" si="223"/>
        <v>3.9645523507347812E-2</v>
      </c>
    </row>
    <row r="206" spans="1:10" ht="16.5" x14ac:dyDescent="0.35">
      <c r="A206" s="10">
        <f t="shared" si="219"/>
        <v>205</v>
      </c>
      <c r="B206" s="1">
        <v>34.769531000000001</v>
      </c>
      <c r="C206" s="12">
        <f t="shared" ref="C206:D206" si="231">C205</f>
        <v>0.55000000000000004</v>
      </c>
      <c r="D206" s="12">
        <f t="shared" si="231"/>
        <v>1.4E-2</v>
      </c>
      <c r="E206" s="13">
        <f t="shared" si="184"/>
        <v>8.1028404506727283E-2</v>
      </c>
      <c r="F206" s="13">
        <f t="shared" si="185"/>
        <v>34.572244899879017</v>
      </c>
      <c r="G206" s="13">
        <f t="shared" si="186"/>
        <v>9.5028404506727282E-2</v>
      </c>
      <c r="H206" s="13">
        <f t="shared" si="187"/>
        <v>34.538158021104742</v>
      </c>
      <c r="I206" s="13">
        <f t="shared" si="188"/>
        <v>0.14732437183041319</v>
      </c>
      <c r="J206" s="14">
        <f t="shared" si="223"/>
        <v>3.3514756557014511E-2</v>
      </c>
    </row>
    <row r="207" spans="1:10" ht="16.5" x14ac:dyDescent="0.35">
      <c r="A207" s="10">
        <f t="shared" si="219"/>
        <v>206</v>
      </c>
      <c r="B207" s="1">
        <v>34.769531000000001</v>
      </c>
      <c r="C207" s="12">
        <f t="shared" ref="C207:D207" si="232">C206</f>
        <v>0.55000000000000004</v>
      </c>
      <c r="D207" s="12">
        <f t="shared" si="232"/>
        <v>1.4E-2</v>
      </c>
      <c r="E207" s="13">
        <f t="shared" si="184"/>
        <v>8.1028404506727283E-2</v>
      </c>
      <c r="F207" s="13">
        <f t="shared" si="185"/>
        <v>34.601309950650212</v>
      </c>
      <c r="G207" s="13">
        <f t="shared" si="186"/>
        <v>9.5028404506727282E-2</v>
      </c>
      <c r="H207" s="13">
        <f t="shared" si="187"/>
        <v>34.572244899879017</v>
      </c>
      <c r="I207" s="13">
        <f t="shared" si="188"/>
        <v>0.14732437183041319</v>
      </c>
      <c r="J207" s="14">
        <f t="shared" si="223"/>
        <v>3.9645523507347832E-2</v>
      </c>
    </row>
    <row r="208" spans="1:10" ht="16.5" x14ac:dyDescent="0.35">
      <c r="A208" s="10">
        <f t="shared" si="219"/>
        <v>207</v>
      </c>
      <c r="B208" s="1">
        <v>34.769531000000001</v>
      </c>
      <c r="C208" s="12">
        <f t="shared" ref="C208:D208" si="233">C207</f>
        <v>0.55000000000000004</v>
      </c>
      <c r="D208" s="12">
        <f t="shared" si="233"/>
        <v>1.4E-2</v>
      </c>
      <c r="E208" s="13">
        <f t="shared" si="184"/>
        <v>8.1028404506727283E-2</v>
      </c>
      <c r="F208" s="13">
        <f t="shared" si="185"/>
        <v>34.626093011074325</v>
      </c>
      <c r="G208" s="13">
        <f t="shared" si="186"/>
        <v>9.5028404506727282E-2</v>
      </c>
      <c r="H208" s="13">
        <f t="shared" si="187"/>
        <v>34.601309950650212</v>
      </c>
      <c r="I208" s="13">
        <f t="shared" si="188"/>
        <v>0.14732437183041319</v>
      </c>
      <c r="J208" s="14">
        <f t="shared" si="223"/>
        <v>3.6784513811462062E-2</v>
      </c>
    </row>
    <row r="209" spans="1:10" ht="16.5" x14ac:dyDescent="0.35">
      <c r="A209" s="10">
        <f t="shared" si="219"/>
        <v>208</v>
      </c>
      <c r="B209" s="1">
        <v>35.0625</v>
      </c>
      <c r="C209" s="12">
        <f t="shared" ref="C209:D209" si="234">C208</f>
        <v>0.55000000000000004</v>
      </c>
      <c r="D209" s="12">
        <f t="shared" si="234"/>
        <v>1.4E-2</v>
      </c>
      <c r="E209" s="13">
        <f t="shared" si="184"/>
        <v>8.1028404506727283E-2</v>
      </c>
      <c r="F209" s="13">
        <f t="shared" si="185"/>
        <v>34.690386396580202</v>
      </c>
      <c r="G209" s="13">
        <f t="shared" si="186"/>
        <v>9.5028404506727282E-2</v>
      </c>
      <c r="H209" s="13">
        <f t="shared" si="187"/>
        <v>34.626093011074325</v>
      </c>
      <c r="I209" s="13">
        <f t="shared" si="188"/>
        <v>0.14732437183041319</v>
      </c>
      <c r="J209" s="14">
        <f t="shared" si="223"/>
        <v>3.3514788644033448E-2</v>
      </c>
    </row>
    <row r="210" spans="1:10" ht="16.5" x14ac:dyDescent="0.35">
      <c r="A210" s="10">
        <f t="shared" si="219"/>
        <v>209</v>
      </c>
      <c r="B210" s="1">
        <v>34.183593999999999</v>
      </c>
      <c r="C210" s="12">
        <f t="shared" ref="C210:D210" si="235">C209</f>
        <v>0.55000000000000004</v>
      </c>
      <c r="D210" s="12">
        <f t="shared" si="235"/>
        <v>1.4E-2</v>
      </c>
      <c r="E210" s="13">
        <f t="shared" si="184"/>
        <v>8.1028404506727283E-2</v>
      </c>
      <c r="F210" s="13">
        <f t="shared" si="185"/>
        <v>34.615723525105594</v>
      </c>
      <c r="G210" s="13">
        <f t="shared" si="186"/>
        <v>9.5028404506727282E-2</v>
      </c>
      <c r="H210" s="13">
        <f t="shared" si="187"/>
        <v>34.690386396580202</v>
      </c>
      <c r="I210" s="13">
        <f t="shared" si="188"/>
        <v>0.14732437183041319</v>
      </c>
      <c r="J210" s="14">
        <f t="shared" si="223"/>
        <v>3.8419403599390577E-2</v>
      </c>
    </row>
    <row r="211" spans="1:10" ht="16.5" x14ac:dyDescent="0.35">
      <c r="A211" s="10">
        <f t="shared" si="219"/>
        <v>210</v>
      </c>
      <c r="B211" s="1">
        <v>34.769531000000001</v>
      </c>
      <c r="C211" s="12">
        <f t="shared" ref="C211:D211" si="236">C210</f>
        <v>0.55000000000000004</v>
      </c>
      <c r="D211" s="12">
        <f t="shared" si="236"/>
        <v>1.4E-2</v>
      </c>
      <c r="E211" s="13">
        <f t="shared" si="184"/>
        <v>8.1028404506727283E-2</v>
      </c>
      <c r="F211" s="13">
        <f t="shared" si="185"/>
        <v>34.638383114727233</v>
      </c>
      <c r="G211" s="13">
        <f t="shared" si="186"/>
        <v>9.5028404506727282E-2</v>
      </c>
      <c r="H211" s="13">
        <f t="shared" si="187"/>
        <v>34.615723525105594</v>
      </c>
      <c r="I211" s="13">
        <f t="shared" si="188"/>
        <v>0.14732437183041319</v>
      </c>
      <c r="J211" s="14">
        <f t="shared" si="223"/>
        <v>4.2915300293028688E-2</v>
      </c>
    </row>
    <row r="212" spans="1:10" ht="16.5" x14ac:dyDescent="0.35">
      <c r="A212" s="10">
        <f t="shared" si="219"/>
        <v>211</v>
      </c>
      <c r="B212" s="1">
        <v>34.769531000000001</v>
      </c>
      <c r="C212" s="12">
        <f t="shared" ref="C212:D212" si="237">C211</f>
        <v>0.55000000000000004</v>
      </c>
      <c r="D212" s="12">
        <f t="shared" si="237"/>
        <v>1.4E-2</v>
      </c>
      <c r="E212" s="13">
        <f t="shared" si="184"/>
        <v>8.1028404506727283E-2</v>
      </c>
      <c r="F212" s="13">
        <f t="shared" si="185"/>
        <v>34.657704394541931</v>
      </c>
      <c r="G212" s="13">
        <f t="shared" si="186"/>
        <v>9.5028404506727282E-2</v>
      </c>
      <c r="H212" s="13">
        <f t="shared" si="187"/>
        <v>34.638383114727233</v>
      </c>
      <c r="I212" s="13">
        <f t="shared" si="188"/>
        <v>0.14732437183041319</v>
      </c>
      <c r="J212" s="14">
        <f t="shared" si="223"/>
        <v>4.7002478724947713E-2</v>
      </c>
    </row>
    <row r="213" spans="1:10" ht="16.5" x14ac:dyDescent="0.35">
      <c r="A213" s="10">
        <f t="shared" si="219"/>
        <v>212</v>
      </c>
      <c r="B213" s="1">
        <v>34.769531000000001</v>
      </c>
      <c r="C213" s="12">
        <f t="shared" ref="C213:D213" si="238">C212</f>
        <v>0.55000000000000004</v>
      </c>
      <c r="D213" s="12">
        <f t="shared" si="238"/>
        <v>1.4E-2</v>
      </c>
      <c r="E213" s="13">
        <f t="shared" si="184"/>
        <v>8.1028404506727283E-2</v>
      </c>
      <c r="F213" s="13">
        <f t="shared" si="185"/>
        <v>34.674179178944968</v>
      </c>
      <c r="G213" s="13">
        <f t="shared" si="186"/>
        <v>9.5028404506727282E-2</v>
      </c>
      <c r="H213" s="13">
        <f t="shared" si="187"/>
        <v>34.657704394541931</v>
      </c>
      <c r="I213" s="13">
        <f t="shared" si="188"/>
        <v>0.14732437183041319</v>
      </c>
      <c r="J213" s="14">
        <f t="shared" si="223"/>
        <v>4.7002478724947713E-2</v>
      </c>
    </row>
    <row r="214" spans="1:10" ht="16.5" x14ac:dyDescent="0.35">
      <c r="A214" s="10">
        <f t="shared" si="219"/>
        <v>213</v>
      </c>
      <c r="B214" s="1">
        <v>34.769531000000001</v>
      </c>
      <c r="C214" s="12">
        <f t="shared" ref="C214:D214" si="239">C213</f>
        <v>0.55000000000000004</v>
      </c>
      <c r="D214" s="12">
        <f t="shared" si="239"/>
        <v>1.4E-2</v>
      </c>
      <c r="E214" s="13">
        <f t="shared" si="184"/>
        <v>8.1028404506727283E-2</v>
      </c>
      <c r="F214" s="13">
        <f t="shared" si="185"/>
        <v>34.688226826084787</v>
      </c>
      <c r="G214" s="13">
        <f t="shared" si="186"/>
        <v>9.5028404506727282E-2</v>
      </c>
      <c r="H214" s="13">
        <f t="shared" si="187"/>
        <v>34.674179178944968</v>
      </c>
      <c r="I214" s="13">
        <f t="shared" si="188"/>
        <v>0.14732437183041319</v>
      </c>
      <c r="J214" s="14">
        <f t="shared" si="223"/>
        <v>3.1062518136214336E-2</v>
      </c>
    </row>
    <row r="215" spans="1:10" ht="16.5" x14ac:dyDescent="0.35">
      <c r="A215" s="10">
        <f t="shared" si="219"/>
        <v>214</v>
      </c>
      <c r="B215" s="1">
        <v>34.476562999999999</v>
      </c>
      <c r="C215" s="12">
        <f t="shared" ref="C215:D215" si="240">C214</f>
        <v>0.55000000000000004</v>
      </c>
      <c r="D215" s="12">
        <f t="shared" si="240"/>
        <v>1.4E-2</v>
      </c>
      <c r="E215" s="13">
        <f t="shared" si="184"/>
        <v>8.1028404506727283E-2</v>
      </c>
      <c r="F215" s="13">
        <f t="shared" si="185"/>
        <v>34.657043585867626</v>
      </c>
      <c r="G215" s="13">
        <f t="shared" si="186"/>
        <v>9.5028404506727282E-2</v>
      </c>
      <c r="H215" s="13">
        <f t="shared" si="187"/>
        <v>34.688226826084787</v>
      </c>
      <c r="I215" s="13">
        <f t="shared" si="188"/>
        <v>0.14732437183041319</v>
      </c>
      <c r="J215" s="14">
        <f t="shared" si="223"/>
        <v>3.3514824916347642E-2</v>
      </c>
    </row>
    <row r="216" spans="1:10" ht="16.5" x14ac:dyDescent="0.35">
      <c r="A216" s="10">
        <f t="shared" si="219"/>
        <v>215</v>
      </c>
      <c r="B216" s="1">
        <v>34.769531000000001</v>
      </c>
      <c r="C216" s="12">
        <f t="shared" ref="C216:D216" si="241">C215</f>
        <v>0.55000000000000004</v>
      </c>
      <c r="D216" s="12">
        <f t="shared" si="241"/>
        <v>1.4E-2</v>
      </c>
      <c r="E216" s="13">
        <f t="shared" si="184"/>
        <v>8.1028404506727283E-2</v>
      </c>
      <c r="F216" s="13">
        <f t="shared" si="185"/>
        <v>34.673615723493505</v>
      </c>
      <c r="G216" s="13">
        <f t="shared" si="186"/>
        <v>9.5028404506727282E-2</v>
      </c>
      <c r="H216" s="13">
        <f t="shared" si="187"/>
        <v>34.657043585867626</v>
      </c>
      <c r="I216" s="13">
        <f t="shared" si="188"/>
        <v>0.14732437183041319</v>
      </c>
      <c r="J216" s="14">
        <f t="shared" si="223"/>
        <v>3.5558413434761939E-2</v>
      </c>
    </row>
    <row r="217" spans="1:10" ht="16.5" x14ac:dyDescent="0.35">
      <c r="A217" s="10">
        <f t="shared" si="219"/>
        <v>216</v>
      </c>
      <c r="B217" s="1">
        <v>34.769531000000001</v>
      </c>
      <c r="C217" s="12">
        <f t="shared" ref="C217:D217" si="242">C216</f>
        <v>0.55000000000000004</v>
      </c>
      <c r="D217" s="12">
        <f t="shared" si="242"/>
        <v>1.4E-2</v>
      </c>
      <c r="E217" s="13">
        <f t="shared" si="184"/>
        <v>8.1028404506727283E-2</v>
      </c>
      <c r="F217" s="13">
        <f t="shared" si="185"/>
        <v>34.687746381353762</v>
      </c>
      <c r="G217" s="13">
        <f t="shared" si="186"/>
        <v>9.5028404506727282E-2</v>
      </c>
      <c r="H217" s="13">
        <f t="shared" si="187"/>
        <v>34.673615723493505</v>
      </c>
      <c r="I217" s="13">
        <f t="shared" si="188"/>
        <v>0.14732437183041319</v>
      </c>
      <c r="J217" s="14">
        <f t="shared" si="223"/>
        <v>3.5558413434761932E-2</v>
      </c>
    </row>
    <row r="218" spans="1:10" ht="16.5" x14ac:dyDescent="0.35">
      <c r="A218" s="10">
        <f t="shared" si="219"/>
        <v>217</v>
      </c>
      <c r="B218" s="1">
        <v>34.769531000000001</v>
      </c>
      <c r="C218" s="12">
        <f t="shared" ref="C218:D218" si="243">C217</f>
        <v>0.55000000000000004</v>
      </c>
      <c r="D218" s="12">
        <f t="shared" si="243"/>
        <v>1.4E-2</v>
      </c>
      <c r="E218" s="13">
        <f t="shared" si="184"/>
        <v>8.1028404506727283E-2</v>
      </c>
      <c r="F218" s="13">
        <f t="shared" si="185"/>
        <v>34.699795248921205</v>
      </c>
      <c r="G218" s="13">
        <f t="shared" si="186"/>
        <v>9.5028404506727282E-2</v>
      </c>
      <c r="H218" s="13">
        <f t="shared" si="187"/>
        <v>34.687746381353762</v>
      </c>
      <c r="I218" s="13">
        <f t="shared" si="188"/>
        <v>0.14732437183041319</v>
      </c>
      <c r="J218" s="14">
        <f t="shared" si="223"/>
        <v>3.7193283691457177E-2</v>
      </c>
    </row>
    <row r="219" spans="1:10" ht="16.5" x14ac:dyDescent="0.35">
      <c r="A219" s="10">
        <f t="shared" si="219"/>
        <v>218</v>
      </c>
      <c r="B219" s="1">
        <v>34.476562999999999</v>
      </c>
      <c r="C219" s="12">
        <f t="shared" ref="C219:D219" si="244">C218</f>
        <v>0.55000000000000004</v>
      </c>
      <c r="D219" s="12">
        <f t="shared" si="244"/>
        <v>1.4E-2</v>
      </c>
      <c r="E219" s="13">
        <f t="shared" si="184"/>
        <v>8.1028404506727283E-2</v>
      </c>
      <c r="F219" s="13">
        <f t="shared" si="185"/>
        <v>34.666907698076599</v>
      </c>
      <c r="G219" s="13">
        <f t="shared" si="186"/>
        <v>9.5028404506727282E-2</v>
      </c>
      <c r="H219" s="13">
        <f t="shared" si="187"/>
        <v>34.699795248921205</v>
      </c>
      <c r="I219" s="13">
        <f t="shared" si="188"/>
        <v>0.14732437183041319</v>
      </c>
      <c r="J219" s="14">
        <f t="shared" si="223"/>
        <v>3.0653827776261883E-2</v>
      </c>
    </row>
    <row r="220" spans="1:10" ht="16.5" x14ac:dyDescent="0.35">
      <c r="A220" s="10">
        <f t="shared" si="219"/>
        <v>219</v>
      </c>
      <c r="B220" s="1">
        <v>34.769531000000001</v>
      </c>
      <c r="C220" s="12">
        <f t="shared" ref="C220:D220" si="245">C219</f>
        <v>0.55000000000000004</v>
      </c>
      <c r="D220" s="12">
        <f t="shared" si="245"/>
        <v>1.4E-2</v>
      </c>
      <c r="E220" s="13">
        <f t="shared" si="184"/>
        <v>8.1028404506727283E-2</v>
      </c>
      <c r="F220" s="13">
        <f t="shared" si="185"/>
        <v>34.682026611567629</v>
      </c>
      <c r="G220" s="13">
        <f t="shared" si="186"/>
        <v>9.5028404506727282E-2</v>
      </c>
      <c r="H220" s="13">
        <f t="shared" si="187"/>
        <v>34.666907698076599</v>
      </c>
      <c r="I220" s="13">
        <f t="shared" si="188"/>
        <v>0.14732437183041319</v>
      </c>
      <c r="J220" s="14">
        <f t="shared" si="223"/>
        <v>3.0653827776261883E-2</v>
      </c>
    </row>
    <row r="221" spans="1:10" ht="16.5" x14ac:dyDescent="0.35">
      <c r="A221" s="10">
        <f t="shared" si="219"/>
        <v>220</v>
      </c>
      <c r="B221" s="1">
        <v>34.769531000000001</v>
      </c>
      <c r="C221" s="12">
        <f t="shared" ref="C221:D221" si="246">C220</f>
        <v>0.55000000000000004</v>
      </c>
      <c r="D221" s="12">
        <f t="shared" si="246"/>
        <v>1.4E-2</v>
      </c>
      <c r="E221" s="13">
        <f t="shared" si="184"/>
        <v>8.1028404506727283E-2</v>
      </c>
      <c r="F221" s="13">
        <f t="shared" si="185"/>
        <v>34.69491814062583</v>
      </c>
      <c r="G221" s="13">
        <f t="shared" si="186"/>
        <v>9.5028404506727282E-2</v>
      </c>
      <c r="H221" s="13">
        <f t="shared" si="187"/>
        <v>34.682026611567629</v>
      </c>
      <c r="I221" s="13">
        <f t="shared" si="188"/>
        <v>0.14732437183041319</v>
      </c>
      <c r="J221" s="14">
        <f t="shared" si="223"/>
        <v>3.1062544642890443E-2</v>
      </c>
    </row>
    <row r="222" spans="1:10" ht="16.5" x14ac:dyDescent="0.35">
      <c r="A222" s="10">
        <f t="shared" si="219"/>
        <v>221</v>
      </c>
      <c r="B222" s="1">
        <v>34.769531000000001</v>
      </c>
      <c r="C222" s="12">
        <f t="shared" ref="C222:D222" si="247">C221</f>
        <v>0.55000000000000004</v>
      </c>
      <c r="D222" s="12">
        <f t="shared" si="247"/>
        <v>1.4E-2</v>
      </c>
      <c r="E222" s="13">
        <f t="shared" si="184"/>
        <v>8.1028404506727283E-2</v>
      </c>
      <c r="F222" s="13">
        <f t="shared" si="185"/>
        <v>34.705910433263604</v>
      </c>
      <c r="G222" s="13">
        <f t="shared" si="186"/>
        <v>9.5028404506727282E-2</v>
      </c>
      <c r="H222" s="13">
        <f t="shared" si="187"/>
        <v>34.69491814062583</v>
      </c>
      <c r="I222" s="13">
        <f t="shared" si="188"/>
        <v>0.14732437183041319</v>
      </c>
      <c r="J222" s="14">
        <f t="shared" si="223"/>
        <v>3.1062543247799973E-2</v>
      </c>
    </row>
    <row r="223" spans="1:10" ht="16.5" x14ac:dyDescent="0.35">
      <c r="A223" s="10">
        <f t="shared" si="219"/>
        <v>222</v>
      </c>
      <c r="B223" s="1">
        <v>34.769531000000001</v>
      </c>
      <c r="C223" s="12">
        <f t="shared" ref="C223:D223" si="248">C222</f>
        <v>0.55000000000000004</v>
      </c>
      <c r="D223" s="12">
        <f t="shared" si="248"/>
        <v>1.4E-2</v>
      </c>
      <c r="E223" s="13">
        <f t="shared" si="184"/>
        <v>8.1028404506727283E-2</v>
      </c>
      <c r="F223" s="13">
        <f t="shared" si="185"/>
        <v>34.715283293293538</v>
      </c>
      <c r="G223" s="13">
        <f t="shared" si="186"/>
        <v>9.5028404506727282E-2</v>
      </c>
      <c r="H223" s="13">
        <f t="shared" si="187"/>
        <v>34.705910433263604</v>
      </c>
      <c r="I223" s="13">
        <f t="shared" si="188"/>
        <v>0.14732437183041319</v>
      </c>
      <c r="J223" s="14">
        <f t="shared" si="223"/>
        <v>2.1253349609390394E-2</v>
      </c>
    </row>
    <row r="224" spans="1:10" ht="16.5" x14ac:dyDescent="0.35">
      <c r="A224" s="10">
        <f t="shared" si="219"/>
        <v>223</v>
      </c>
      <c r="B224" s="1">
        <v>35.0625</v>
      </c>
      <c r="C224" s="12">
        <f t="shared" ref="C224:D224" si="249">C223</f>
        <v>0.55000000000000004</v>
      </c>
      <c r="D224" s="12">
        <f t="shared" si="249"/>
        <v>1.4E-2</v>
      </c>
      <c r="E224" s="13">
        <f t="shared" si="184"/>
        <v>8.1028404506727283E-2</v>
      </c>
      <c r="F224" s="13">
        <f t="shared" si="185"/>
        <v>34.76643677649809</v>
      </c>
      <c r="G224" s="13">
        <f t="shared" si="186"/>
        <v>9.5028404506727282E-2</v>
      </c>
      <c r="H224" s="13">
        <f t="shared" si="187"/>
        <v>34.715283293293538</v>
      </c>
      <c r="I224" s="13">
        <f t="shared" si="188"/>
        <v>0.14732437183041319</v>
      </c>
      <c r="J224" s="14">
        <f t="shared" si="223"/>
        <v>2.0027194824233242E-2</v>
      </c>
    </row>
    <row r="225" spans="1:10" ht="16.5" x14ac:dyDescent="0.35">
      <c r="A225" s="10">
        <f t="shared" si="219"/>
        <v>224</v>
      </c>
      <c r="B225" s="1">
        <v>34.769531000000001</v>
      </c>
      <c r="C225" s="12">
        <f t="shared" ref="C225:D225" si="250">C224</f>
        <v>0.55000000000000004</v>
      </c>
      <c r="D225" s="12">
        <f t="shared" si="250"/>
        <v>1.4E-2</v>
      </c>
      <c r="E225" s="13">
        <f t="shared" si="184"/>
        <v>8.1028404506727283E-2</v>
      </c>
      <c r="F225" s="13">
        <f t="shared" si="185"/>
        <v>34.766892631031808</v>
      </c>
      <c r="G225" s="13">
        <f t="shared" si="186"/>
        <v>9.5028404506727282E-2</v>
      </c>
      <c r="H225" s="13">
        <f t="shared" si="187"/>
        <v>34.76643677649809</v>
      </c>
      <c r="I225" s="13">
        <f t="shared" si="188"/>
        <v>0.14732437183041319</v>
      </c>
      <c r="J225" s="14">
        <f t="shared" si="223"/>
        <v>1.8392321777357078E-2</v>
      </c>
    </row>
    <row r="226" spans="1:10" ht="16.5" x14ac:dyDescent="0.35">
      <c r="A226" s="10">
        <f t="shared" si="219"/>
        <v>225</v>
      </c>
      <c r="B226" s="1">
        <v>34.769531000000001</v>
      </c>
      <c r="C226" s="12">
        <f t="shared" ref="C226:D226" si="251">C225</f>
        <v>0.55000000000000004</v>
      </c>
      <c r="D226" s="12">
        <f t="shared" si="251"/>
        <v>1.4E-2</v>
      </c>
      <c r="E226" s="13">
        <f t="shared" si="184"/>
        <v>8.1028404506727283E-2</v>
      </c>
      <c r="F226" s="13">
        <f t="shared" si="185"/>
        <v>34.767281327082706</v>
      </c>
      <c r="G226" s="13">
        <f t="shared" si="186"/>
        <v>9.5028404506727282E-2</v>
      </c>
      <c r="H226" s="13">
        <f t="shared" si="187"/>
        <v>34.766892631031808</v>
      </c>
      <c r="I226" s="13">
        <f t="shared" si="188"/>
        <v>0.14732437183041319</v>
      </c>
      <c r="J226" s="14">
        <f t="shared" si="223"/>
        <v>1.8392321777357078E-2</v>
      </c>
    </row>
    <row r="227" spans="1:10" ht="16.5" x14ac:dyDescent="0.35">
      <c r="A227" s="10">
        <f t="shared" si="219"/>
        <v>226</v>
      </c>
      <c r="B227" s="1">
        <v>35.0625</v>
      </c>
      <c r="C227" s="12">
        <f t="shared" ref="C227:D227" si="252">C226</f>
        <v>0.55000000000000004</v>
      </c>
      <c r="D227" s="12">
        <f t="shared" si="252"/>
        <v>1.4E-2</v>
      </c>
      <c r="E227" s="13">
        <f t="shared" si="184"/>
        <v>8.1028404506727283E-2</v>
      </c>
      <c r="F227" s="13">
        <f t="shared" si="185"/>
        <v>34.810774232622855</v>
      </c>
      <c r="G227" s="13">
        <f t="shared" si="186"/>
        <v>9.5028404506727282E-2</v>
      </c>
      <c r="H227" s="13">
        <f t="shared" si="187"/>
        <v>34.767281327082706</v>
      </c>
      <c r="I227" s="13">
        <f t="shared" si="188"/>
        <v>0.14732437183041319</v>
      </c>
      <c r="J227" s="14">
        <f t="shared" si="223"/>
        <v>1.6348730468761827E-2</v>
      </c>
    </row>
    <row r="228" spans="1:10" ht="16.5" x14ac:dyDescent="0.35">
      <c r="A228" s="10">
        <f t="shared" si="219"/>
        <v>227</v>
      </c>
      <c r="B228" s="1">
        <v>35.0625</v>
      </c>
      <c r="C228" s="12">
        <f t="shared" ref="C228:D228" si="253">C227</f>
        <v>0.55000000000000004</v>
      </c>
      <c r="D228" s="12">
        <f t="shared" si="253"/>
        <v>1.4E-2</v>
      </c>
      <c r="E228" s="13">
        <f t="shared" si="184"/>
        <v>8.1028404506727283E-2</v>
      </c>
      <c r="F228" s="13">
        <f t="shared" si="185"/>
        <v>34.847859573175221</v>
      </c>
      <c r="G228" s="13">
        <f t="shared" si="186"/>
        <v>9.5028404506727282E-2</v>
      </c>
      <c r="H228" s="13">
        <f t="shared" si="187"/>
        <v>34.810774232622855</v>
      </c>
      <c r="I228" s="13">
        <f t="shared" si="188"/>
        <v>0.14732437183041319</v>
      </c>
      <c r="J228" s="14">
        <f t="shared" si="223"/>
        <v>1.8392321777357074E-2</v>
      </c>
    </row>
    <row r="229" spans="1:10" ht="16.5" x14ac:dyDescent="0.35">
      <c r="A229" s="10">
        <f t="shared" si="219"/>
        <v>228</v>
      </c>
      <c r="B229" s="1">
        <v>35.0625</v>
      </c>
      <c r="C229" s="12">
        <f t="shared" ref="C229:D229" si="254">C228</f>
        <v>0.55000000000000004</v>
      </c>
      <c r="D229" s="12">
        <f t="shared" si="254"/>
        <v>1.4E-2</v>
      </c>
      <c r="E229" s="13">
        <f t="shared" ref="E229:E281" si="255">(1-I229)*G229</f>
        <v>8.1028404506727283E-2</v>
      </c>
      <c r="F229" s="13">
        <f t="shared" ref="F229:F281" si="256">H229+I229*(B229-H229)</f>
        <v>34.879481339226594</v>
      </c>
      <c r="G229" s="13">
        <f t="shared" ref="G229:G281" si="257">E228+D228</f>
        <v>9.5028404506727282E-2</v>
      </c>
      <c r="H229" s="13">
        <f t="shared" ref="H229:H281" si="258">F228</f>
        <v>34.847859573175221</v>
      </c>
      <c r="I229" s="13">
        <f t="shared" ref="I229:I281" si="259">G229/(G229+C229)</f>
        <v>0.14732437183041319</v>
      </c>
      <c r="J229" s="14">
        <f t="shared" si="223"/>
        <v>1.6348730468761834E-2</v>
      </c>
    </row>
    <row r="230" spans="1:10" ht="16.5" x14ac:dyDescent="0.35">
      <c r="A230" s="10">
        <f t="shared" si="219"/>
        <v>229</v>
      </c>
      <c r="B230" s="1">
        <v>35.0625</v>
      </c>
      <c r="C230" s="12">
        <f t="shared" ref="C230:D230" si="260">C229</f>
        <v>0.55000000000000004</v>
      </c>
      <c r="D230" s="12">
        <f t="shared" si="260"/>
        <v>1.4E-2</v>
      </c>
      <c r="E230" s="13">
        <f t="shared" si="255"/>
        <v>8.1028404506727283E-2</v>
      </c>
      <c r="F230" s="13">
        <f t="shared" si="256"/>
        <v>34.906444448458281</v>
      </c>
      <c r="G230" s="13">
        <f t="shared" si="257"/>
        <v>9.5028404506727282E-2</v>
      </c>
      <c r="H230" s="13">
        <f t="shared" si="258"/>
        <v>34.879481339226594</v>
      </c>
      <c r="I230" s="13">
        <f t="shared" si="259"/>
        <v>0.14732437183041319</v>
      </c>
      <c r="J230" s="14">
        <f t="shared" si="223"/>
        <v>1.3896420898447554E-2</v>
      </c>
    </row>
    <row r="231" spans="1:10" ht="16.5" x14ac:dyDescent="0.35">
      <c r="A231" s="10">
        <f t="shared" si="219"/>
        <v>230</v>
      </c>
      <c r="B231" s="1">
        <v>35.0625</v>
      </c>
      <c r="C231" s="12">
        <f t="shared" ref="C231:D231" si="261">C230</f>
        <v>0.55000000000000004</v>
      </c>
      <c r="D231" s="12">
        <f t="shared" si="261"/>
        <v>1.4E-2</v>
      </c>
      <c r="E231" s="13">
        <f t="shared" si="255"/>
        <v>8.1028404506727283E-2</v>
      </c>
      <c r="F231" s="13">
        <f t="shared" si="256"/>
        <v>34.929435234559811</v>
      </c>
      <c r="G231" s="13">
        <f t="shared" si="257"/>
        <v>9.5028404506727282E-2</v>
      </c>
      <c r="H231" s="13">
        <f t="shared" si="258"/>
        <v>34.906444448458281</v>
      </c>
      <c r="I231" s="13">
        <f t="shared" si="259"/>
        <v>0.14732437183041319</v>
      </c>
      <c r="J231" s="14">
        <f t="shared" si="223"/>
        <v>1.9618476562514198E-2</v>
      </c>
    </row>
    <row r="232" spans="1:10" ht="16.5" x14ac:dyDescent="0.35">
      <c r="A232" s="10">
        <f t="shared" si="219"/>
        <v>231</v>
      </c>
      <c r="B232" s="1">
        <v>35.0625</v>
      </c>
      <c r="C232" s="12">
        <f t="shared" ref="C232:D232" si="262">C231</f>
        <v>0.55000000000000004</v>
      </c>
      <c r="D232" s="12">
        <f t="shared" si="262"/>
        <v>1.4E-2</v>
      </c>
      <c r="E232" s="13">
        <f t="shared" si="255"/>
        <v>8.1028404506727283E-2</v>
      </c>
      <c r="F232" s="13">
        <f t="shared" si="256"/>
        <v>34.949038917541046</v>
      </c>
      <c r="G232" s="13">
        <f t="shared" si="257"/>
        <v>9.5028404506727282E-2</v>
      </c>
      <c r="H232" s="13">
        <f t="shared" si="258"/>
        <v>34.929435234559811</v>
      </c>
      <c r="I232" s="13">
        <f t="shared" si="259"/>
        <v>0.14732437183041319</v>
      </c>
      <c r="J232" s="14">
        <f t="shared" si="223"/>
        <v>2.2479504394547517E-2</v>
      </c>
    </row>
    <row r="233" spans="1:10" ht="16.5" x14ac:dyDescent="0.35">
      <c r="A233" s="10">
        <f t="shared" si="219"/>
        <v>232</v>
      </c>
      <c r="B233" s="1">
        <v>35.0625</v>
      </c>
      <c r="C233" s="12">
        <f t="shared" ref="C233:D233" si="263">C232</f>
        <v>0.55000000000000004</v>
      </c>
      <c r="D233" s="12">
        <f t="shared" si="263"/>
        <v>1.4E-2</v>
      </c>
      <c r="E233" s="13">
        <f t="shared" si="255"/>
        <v>8.1028404506727283E-2</v>
      </c>
      <c r="F233" s="13">
        <f t="shared" si="256"/>
        <v>34.965754500241509</v>
      </c>
      <c r="G233" s="13">
        <f t="shared" si="257"/>
        <v>9.5028404506727282E-2</v>
      </c>
      <c r="H233" s="13">
        <f t="shared" si="258"/>
        <v>34.949038917541046</v>
      </c>
      <c r="I233" s="13">
        <f t="shared" si="259"/>
        <v>0.14732437183041319</v>
      </c>
      <c r="J233" s="14">
        <f t="shared" si="223"/>
        <v>2.4931813964861792E-2</v>
      </c>
    </row>
    <row r="234" spans="1:10" ht="16.5" x14ac:dyDescent="0.35">
      <c r="A234" s="10">
        <f t="shared" si="219"/>
        <v>233</v>
      </c>
      <c r="B234" s="1">
        <v>34.769531000000001</v>
      </c>
      <c r="C234" s="12">
        <f t="shared" ref="C234:D234" si="264">C233</f>
        <v>0.55000000000000004</v>
      </c>
      <c r="D234" s="12">
        <f t="shared" si="264"/>
        <v>1.4E-2</v>
      </c>
      <c r="E234" s="13">
        <f t="shared" si="255"/>
        <v>8.1028404506727283E-2</v>
      </c>
      <c r="F234" s="13">
        <f t="shared" si="256"/>
        <v>34.936845996330064</v>
      </c>
      <c r="G234" s="13">
        <f t="shared" si="257"/>
        <v>9.5028404506727282E-2</v>
      </c>
      <c r="H234" s="13">
        <f t="shared" si="258"/>
        <v>34.965754500241509</v>
      </c>
      <c r="I234" s="13">
        <f t="shared" si="259"/>
        <v>0.14732437183041319</v>
      </c>
      <c r="J234" s="14">
        <f t="shared" si="223"/>
        <v>2.4931813964861795E-2</v>
      </c>
    </row>
    <row r="235" spans="1:10" ht="16.5" x14ac:dyDescent="0.35">
      <c r="A235" s="10">
        <f t="shared" si="219"/>
        <v>234</v>
      </c>
      <c r="B235" s="1">
        <v>35.0625</v>
      </c>
      <c r="C235" s="12">
        <f t="shared" ref="C235:D235" si="265">C234</f>
        <v>0.55000000000000004</v>
      </c>
      <c r="D235" s="12">
        <f t="shared" si="265"/>
        <v>1.4E-2</v>
      </c>
      <c r="E235" s="13">
        <f t="shared" si="255"/>
        <v>8.1028404506727283E-2</v>
      </c>
      <c r="F235" s="13">
        <f t="shared" si="256"/>
        <v>34.955357893488717</v>
      </c>
      <c r="G235" s="13">
        <f t="shared" si="257"/>
        <v>9.5028404506727282E-2</v>
      </c>
      <c r="H235" s="13">
        <f t="shared" si="258"/>
        <v>34.936845996330064</v>
      </c>
      <c r="I235" s="13">
        <f t="shared" si="259"/>
        <v>0.14732437183041319</v>
      </c>
      <c r="J235" s="14">
        <f t="shared" si="223"/>
        <v>4.5367727050814093E-2</v>
      </c>
    </row>
    <row r="236" spans="1:10" ht="16.5" x14ac:dyDescent="0.35">
      <c r="A236" s="10">
        <f t="shared" si="219"/>
        <v>235</v>
      </c>
      <c r="B236" s="1">
        <v>35.0625</v>
      </c>
      <c r="C236" s="12">
        <f t="shared" ref="C236:D236" si="266">C235</f>
        <v>0.55000000000000004</v>
      </c>
      <c r="D236" s="12">
        <f t="shared" si="266"/>
        <v>1.4E-2</v>
      </c>
      <c r="E236" s="13">
        <f t="shared" si="255"/>
        <v>8.1028404506727283E-2</v>
      </c>
      <c r="F236" s="13">
        <f t="shared" si="256"/>
        <v>34.971142537027077</v>
      </c>
      <c r="G236" s="13">
        <f t="shared" si="257"/>
        <v>9.5028404506727282E-2</v>
      </c>
      <c r="H236" s="13">
        <f t="shared" si="258"/>
        <v>34.955357893488717</v>
      </c>
      <c r="I236" s="13">
        <f t="shared" si="259"/>
        <v>0.14732437183041319</v>
      </c>
      <c r="J236" s="14">
        <f t="shared" si="223"/>
        <v>4.5367727050814093E-2</v>
      </c>
    </row>
    <row r="237" spans="1:10" ht="16.5" x14ac:dyDescent="0.35">
      <c r="A237" s="10">
        <f t="shared" si="219"/>
        <v>236</v>
      </c>
      <c r="B237" s="1">
        <v>34.769531000000001</v>
      </c>
      <c r="C237" s="12">
        <f t="shared" ref="C237:D237" si="267">C236</f>
        <v>0.55000000000000004</v>
      </c>
      <c r="D237" s="12">
        <f t="shared" si="267"/>
        <v>1.4E-2</v>
      </c>
      <c r="E237" s="13">
        <f t="shared" si="255"/>
        <v>8.1028404506727283E-2</v>
      </c>
      <c r="F237" s="13">
        <f t="shared" si="256"/>
        <v>34.9414402439808</v>
      </c>
      <c r="G237" s="13">
        <f t="shared" si="257"/>
        <v>9.5028404506727282E-2</v>
      </c>
      <c r="H237" s="13">
        <f t="shared" si="258"/>
        <v>34.971142537027077</v>
      </c>
      <c r="I237" s="13">
        <f t="shared" si="259"/>
        <v>0.14732437183041319</v>
      </c>
      <c r="J237" s="14">
        <f t="shared" si="223"/>
        <v>5.0681064453161687E-2</v>
      </c>
    </row>
    <row r="238" spans="1:10" ht="16.5" x14ac:dyDescent="0.35">
      <c r="A238" s="10">
        <f t="shared" si="219"/>
        <v>237</v>
      </c>
      <c r="B238" s="1">
        <v>35.0625</v>
      </c>
      <c r="C238" s="12">
        <f t="shared" ref="C238:D238" si="268">C237</f>
        <v>0.55000000000000004</v>
      </c>
      <c r="D238" s="12">
        <f t="shared" si="268"/>
        <v>1.4E-2</v>
      </c>
      <c r="E238" s="13">
        <f t="shared" si="255"/>
        <v>8.1028404506727283E-2</v>
      </c>
      <c r="F238" s="13">
        <f t="shared" si="256"/>
        <v>34.959275296490269</v>
      </c>
      <c r="G238" s="13">
        <f t="shared" si="257"/>
        <v>9.5028404506727282E-2</v>
      </c>
      <c r="H238" s="13">
        <f t="shared" si="258"/>
        <v>34.9414402439808</v>
      </c>
      <c r="I238" s="13">
        <f t="shared" si="259"/>
        <v>0.14732437183041319</v>
      </c>
      <c r="J238" s="14">
        <f t="shared" si="223"/>
        <v>5.1498500976599783E-2</v>
      </c>
    </row>
    <row r="239" spans="1:10" ht="16.5" x14ac:dyDescent="0.35">
      <c r="A239" s="10">
        <f t="shared" si="219"/>
        <v>238</v>
      </c>
      <c r="B239" s="1">
        <v>35.0625</v>
      </c>
      <c r="C239" s="12">
        <f t="shared" ref="C239:D239" si="269">C238</f>
        <v>0.55000000000000004</v>
      </c>
      <c r="D239" s="12">
        <f t="shared" si="269"/>
        <v>1.4E-2</v>
      </c>
      <c r="E239" s="13">
        <f t="shared" si="255"/>
        <v>8.1028404506727283E-2</v>
      </c>
      <c r="F239" s="13">
        <f t="shared" si="256"/>
        <v>34.974482811092223</v>
      </c>
      <c r="G239" s="13">
        <f t="shared" si="257"/>
        <v>9.5028404506727282E-2</v>
      </c>
      <c r="H239" s="13">
        <f t="shared" si="258"/>
        <v>34.959275296490269</v>
      </c>
      <c r="I239" s="13">
        <f t="shared" si="259"/>
        <v>0.14732437183041319</v>
      </c>
      <c r="J239" s="14">
        <f t="shared" si="223"/>
        <v>5.5585683593790236E-2</v>
      </c>
    </row>
    <row r="240" spans="1:10" ht="16.5" x14ac:dyDescent="0.35">
      <c r="A240" s="10">
        <f t="shared" si="219"/>
        <v>239</v>
      </c>
      <c r="B240" s="1">
        <v>35.0625</v>
      </c>
      <c r="C240" s="12">
        <f t="shared" ref="C240:D240" si="270">C239</f>
        <v>0.55000000000000004</v>
      </c>
      <c r="D240" s="12">
        <f t="shared" si="270"/>
        <v>1.4E-2</v>
      </c>
      <c r="E240" s="13">
        <f t="shared" si="255"/>
        <v>8.1028404506727283E-2</v>
      </c>
      <c r="F240" s="13">
        <f t="shared" si="256"/>
        <v>34.987449888158338</v>
      </c>
      <c r="G240" s="13">
        <f t="shared" si="257"/>
        <v>9.5028404506727282E-2</v>
      </c>
      <c r="H240" s="13">
        <f t="shared" si="258"/>
        <v>34.974482811092223</v>
      </c>
      <c r="I240" s="13">
        <f t="shared" si="259"/>
        <v>0.14732437183041319</v>
      </c>
      <c r="J240" s="14">
        <f t="shared" si="223"/>
        <v>5.9264147949261645E-2</v>
      </c>
    </row>
    <row r="241" spans="1:10" ht="16.5" x14ac:dyDescent="0.35">
      <c r="A241" s="10">
        <f t="shared" si="219"/>
        <v>240</v>
      </c>
      <c r="B241" s="1">
        <v>35.0625</v>
      </c>
      <c r="C241" s="12">
        <f t="shared" ref="C241:D241" si="271">C240</f>
        <v>0.55000000000000004</v>
      </c>
      <c r="D241" s="12">
        <f t="shared" si="271"/>
        <v>1.4E-2</v>
      </c>
      <c r="E241" s="13">
        <f t="shared" si="255"/>
        <v>8.1028404506727283E-2</v>
      </c>
      <c r="F241" s="13">
        <f t="shared" si="256"/>
        <v>34.998506598741216</v>
      </c>
      <c r="G241" s="13">
        <f t="shared" si="257"/>
        <v>9.5028404506727282E-2</v>
      </c>
      <c r="H241" s="13">
        <f t="shared" si="258"/>
        <v>34.987449888158338</v>
      </c>
      <c r="I241" s="13">
        <f t="shared" si="259"/>
        <v>0.14732437183041319</v>
      </c>
      <c r="J241" s="14">
        <f t="shared" si="223"/>
        <v>5.9264147949261645E-2</v>
      </c>
    </row>
    <row r="242" spans="1:10" ht="16.5" x14ac:dyDescent="0.35">
      <c r="A242" s="10">
        <f t="shared" si="219"/>
        <v>241</v>
      </c>
      <c r="B242" s="1">
        <v>35.0625</v>
      </c>
      <c r="C242" s="12">
        <f t="shared" ref="C242:D242" si="272">C241</f>
        <v>0.55000000000000004</v>
      </c>
      <c r="D242" s="12">
        <f t="shared" si="272"/>
        <v>1.4E-2</v>
      </c>
      <c r="E242" s="13">
        <f t="shared" si="255"/>
        <v>8.1028404506727283E-2</v>
      </c>
      <c r="F242" s="13">
        <f t="shared" si="256"/>
        <v>35.007934386382956</v>
      </c>
      <c r="G242" s="13">
        <f t="shared" si="257"/>
        <v>9.5028404506727282E-2</v>
      </c>
      <c r="H242" s="13">
        <f t="shared" si="258"/>
        <v>34.998506598741216</v>
      </c>
      <c r="I242" s="13">
        <f t="shared" si="259"/>
        <v>0.14732437183041319</v>
      </c>
      <c r="J242" s="14">
        <f t="shared" si="223"/>
        <v>6.4168767089890208E-2</v>
      </c>
    </row>
    <row r="243" spans="1:10" ht="16.5" x14ac:dyDescent="0.35">
      <c r="A243" s="10">
        <f t="shared" si="219"/>
        <v>242</v>
      </c>
      <c r="B243" s="1">
        <v>34.769531000000001</v>
      </c>
      <c r="C243" s="12">
        <f t="shared" ref="C243:D243" si="273">C242</f>
        <v>0.55000000000000004</v>
      </c>
      <c r="D243" s="12">
        <f t="shared" si="273"/>
        <v>1.4E-2</v>
      </c>
      <c r="E243" s="13">
        <f t="shared" si="255"/>
        <v>8.1028404506727283E-2</v>
      </c>
      <c r="F243" s="13">
        <f t="shared" si="256"/>
        <v>34.972811757241843</v>
      </c>
      <c r="G243" s="13">
        <f t="shared" si="257"/>
        <v>9.5028404506727282E-2</v>
      </c>
      <c r="H243" s="13">
        <f t="shared" si="258"/>
        <v>35.007934386382956</v>
      </c>
      <c r="I243" s="13">
        <f t="shared" si="259"/>
        <v>0.14732437183041319</v>
      </c>
      <c r="J243" s="14">
        <f t="shared" si="223"/>
        <v>6.4168767089890208E-2</v>
      </c>
    </row>
    <row r="244" spans="1:10" ht="16.5" x14ac:dyDescent="0.35">
      <c r="A244" s="10">
        <f t="shared" si="219"/>
        <v>243</v>
      </c>
      <c r="B244" s="1">
        <v>35.0625</v>
      </c>
      <c r="C244" s="12">
        <f t="shared" ref="C244:D244" si="274">C243</f>
        <v>0.55000000000000004</v>
      </c>
      <c r="D244" s="12">
        <f t="shared" si="274"/>
        <v>1.4E-2</v>
      </c>
      <c r="E244" s="13">
        <f t="shared" si="255"/>
        <v>8.1028404506727283E-2</v>
      </c>
      <c r="F244" s="13">
        <f t="shared" si="256"/>
        <v>34.986025021266762</v>
      </c>
      <c r="G244" s="13">
        <f t="shared" si="257"/>
        <v>9.5028404506727282E-2</v>
      </c>
      <c r="H244" s="13">
        <f t="shared" si="258"/>
        <v>34.972811757241843</v>
      </c>
      <c r="I244" s="13">
        <f t="shared" si="259"/>
        <v>0.14732437183041319</v>
      </c>
      <c r="J244" s="14">
        <f t="shared" si="223"/>
        <v>6.8664667968799706E-2</v>
      </c>
    </row>
    <row r="245" spans="1:10" ht="16.5" x14ac:dyDescent="0.35">
      <c r="A245" s="10">
        <f t="shared" si="219"/>
        <v>244</v>
      </c>
      <c r="B245" s="1">
        <v>34.769531000000001</v>
      </c>
      <c r="C245" s="12">
        <f t="shared" ref="C245:D245" si="275">C244</f>
        <v>0.55000000000000004</v>
      </c>
      <c r="D245" s="12">
        <f t="shared" si="275"/>
        <v>1.4E-2</v>
      </c>
      <c r="E245" s="13">
        <f t="shared" si="255"/>
        <v>8.1028404506727283E-2</v>
      </c>
      <c r="F245" s="13">
        <f t="shared" si="256"/>
        <v>34.954130175578598</v>
      </c>
      <c r="G245" s="13">
        <f t="shared" si="257"/>
        <v>9.5028404506727282E-2</v>
      </c>
      <c r="H245" s="13">
        <f t="shared" si="258"/>
        <v>34.986025021266762</v>
      </c>
      <c r="I245" s="13">
        <f t="shared" si="259"/>
        <v>0.14732437183041319</v>
      </c>
      <c r="J245" s="14">
        <f t="shared" si="223"/>
        <v>7.275185058599018E-2</v>
      </c>
    </row>
    <row r="246" spans="1:10" ht="16.5" x14ac:dyDescent="0.35">
      <c r="A246" s="10">
        <f t="shared" si="219"/>
        <v>245</v>
      </c>
      <c r="B246" s="1">
        <v>35.0625</v>
      </c>
      <c r="C246" s="12">
        <f t="shared" ref="C246:D246" si="276">C245</f>
        <v>0.55000000000000004</v>
      </c>
      <c r="D246" s="12">
        <f t="shared" si="276"/>
        <v>1.4E-2</v>
      </c>
      <c r="E246" s="13">
        <f t="shared" si="255"/>
        <v>8.1028404506727283E-2</v>
      </c>
      <c r="F246" s="13">
        <f t="shared" si="256"/>
        <v>34.970095691886854</v>
      </c>
      <c r="G246" s="13">
        <f t="shared" si="257"/>
        <v>9.5028404506727282E-2</v>
      </c>
      <c r="H246" s="13">
        <f t="shared" si="258"/>
        <v>34.954130175578598</v>
      </c>
      <c r="I246" s="13">
        <f t="shared" si="259"/>
        <v>0.14732437183041319</v>
      </c>
      <c r="J246" s="14">
        <f t="shared" si="223"/>
        <v>7.275185058599018E-2</v>
      </c>
    </row>
    <row r="247" spans="1:10" ht="16.5" x14ac:dyDescent="0.35">
      <c r="A247" s="10">
        <f t="shared" si="219"/>
        <v>246</v>
      </c>
      <c r="B247" s="1">
        <v>35.0625</v>
      </c>
      <c r="C247" s="12">
        <f t="shared" ref="C247:D247" si="277">C246</f>
        <v>0.55000000000000004</v>
      </c>
      <c r="D247" s="12">
        <f t="shared" si="277"/>
        <v>1.4E-2</v>
      </c>
      <c r="E247" s="13">
        <f t="shared" si="255"/>
        <v>8.1028404506727283E-2</v>
      </c>
      <c r="F247" s="13">
        <f t="shared" si="256"/>
        <v>34.98370909853405</v>
      </c>
      <c r="G247" s="13">
        <f t="shared" si="257"/>
        <v>9.5028404506727282E-2</v>
      </c>
      <c r="H247" s="13">
        <f t="shared" si="258"/>
        <v>34.970095691886854</v>
      </c>
      <c r="I247" s="13">
        <f t="shared" si="259"/>
        <v>0.14732437183041319</v>
      </c>
      <c r="J247" s="14">
        <f t="shared" si="223"/>
        <v>6.8664667968799692E-2</v>
      </c>
    </row>
    <row r="248" spans="1:10" ht="16.5" x14ac:dyDescent="0.35">
      <c r="A248" s="10">
        <f t="shared" si="219"/>
        <v>247</v>
      </c>
      <c r="B248" s="1">
        <v>35.355468999999999</v>
      </c>
      <c r="C248" s="12">
        <f t="shared" ref="C248:D248" si="278">C247</f>
        <v>0.55000000000000004</v>
      </c>
      <c r="D248" s="12">
        <f t="shared" si="278"/>
        <v>1.4E-2</v>
      </c>
      <c r="E248" s="13">
        <f t="shared" si="255"/>
        <v>8.1028404506727283E-2</v>
      </c>
      <c r="F248" s="13">
        <f t="shared" si="256"/>
        <v>35.03847839248926</v>
      </c>
      <c r="G248" s="13">
        <f t="shared" si="257"/>
        <v>9.5028404506727282E-2</v>
      </c>
      <c r="H248" s="13">
        <f t="shared" si="258"/>
        <v>34.98370909853405</v>
      </c>
      <c r="I248" s="13">
        <f t="shared" si="259"/>
        <v>0.14732437183041319</v>
      </c>
      <c r="J248" s="14">
        <f t="shared" si="223"/>
        <v>6.8664667968799692E-2</v>
      </c>
    </row>
    <row r="249" spans="1:10" ht="16.5" x14ac:dyDescent="0.35">
      <c r="A249" s="10">
        <f t="shared" si="219"/>
        <v>248</v>
      </c>
      <c r="B249" s="1">
        <v>34.769531000000001</v>
      </c>
      <c r="C249" s="12">
        <f t="shared" ref="C249:D249" si="279">C248</f>
        <v>0.55000000000000004</v>
      </c>
      <c r="D249" s="12">
        <f t="shared" si="279"/>
        <v>1.4E-2</v>
      </c>
      <c r="E249" s="13">
        <f t="shared" si="255"/>
        <v>8.1028404506727283E-2</v>
      </c>
      <c r="F249" s="13">
        <f t="shared" si="256"/>
        <v>34.998855886835351</v>
      </c>
      <c r="G249" s="13">
        <f t="shared" si="257"/>
        <v>9.5028404506727282E-2</v>
      </c>
      <c r="H249" s="13">
        <f t="shared" si="258"/>
        <v>35.03847839248926</v>
      </c>
      <c r="I249" s="13">
        <f t="shared" si="259"/>
        <v>0.14732437183041319</v>
      </c>
      <c r="J249" s="14">
        <f t="shared" si="223"/>
        <v>6.7847231445361617E-2</v>
      </c>
    </row>
    <row r="250" spans="1:10" ht="16.5" x14ac:dyDescent="0.35">
      <c r="A250" s="10">
        <f t="shared" si="219"/>
        <v>249</v>
      </c>
      <c r="B250" s="1">
        <v>34.769531000000001</v>
      </c>
      <c r="C250" s="12">
        <f t="shared" ref="C250:D250" si="280">C249</f>
        <v>0.55000000000000004</v>
      </c>
      <c r="D250" s="12">
        <f t="shared" si="280"/>
        <v>1.4E-2</v>
      </c>
      <c r="E250" s="13">
        <f t="shared" si="255"/>
        <v>8.1028404506727283E-2</v>
      </c>
      <c r="F250" s="13">
        <f t="shared" si="256"/>
        <v>34.965070741937254</v>
      </c>
      <c r="G250" s="13">
        <f t="shared" si="257"/>
        <v>9.5028404506727282E-2</v>
      </c>
      <c r="H250" s="13">
        <f t="shared" si="258"/>
        <v>34.998855886835351</v>
      </c>
      <c r="I250" s="13">
        <f t="shared" si="259"/>
        <v>0.14732437183041319</v>
      </c>
      <c r="J250" s="14">
        <f t="shared" si="223"/>
        <v>8.2561088867247251E-2</v>
      </c>
    </row>
    <row r="251" spans="1:10" ht="16.5" x14ac:dyDescent="0.35">
      <c r="A251" s="10">
        <f t="shared" si="219"/>
        <v>250</v>
      </c>
      <c r="B251" s="1">
        <v>35.0625</v>
      </c>
      <c r="C251" s="12">
        <f t="shared" ref="C251:D251" si="281">C250</f>
        <v>0.55000000000000004</v>
      </c>
      <c r="D251" s="12">
        <f t="shared" si="281"/>
        <v>1.4E-2</v>
      </c>
      <c r="E251" s="13">
        <f t="shared" si="255"/>
        <v>8.1028404506727283E-2</v>
      </c>
      <c r="F251" s="13">
        <f t="shared" si="256"/>
        <v>34.979424446179252</v>
      </c>
      <c r="G251" s="13">
        <f t="shared" si="257"/>
        <v>9.5028404506727282E-2</v>
      </c>
      <c r="H251" s="13">
        <f t="shared" si="258"/>
        <v>34.965070741937254</v>
      </c>
      <c r="I251" s="13">
        <f t="shared" si="259"/>
        <v>0.14732437183041319</v>
      </c>
      <c r="J251" s="14">
        <f t="shared" si="223"/>
        <v>9.5640073242256776E-2</v>
      </c>
    </row>
    <row r="252" spans="1:10" ht="16.5" x14ac:dyDescent="0.35">
      <c r="A252" s="10">
        <f t="shared" si="219"/>
        <v>251</v>
      </c>
      <c r="B252" s="1">
        <v>35.648437999999999</v>
      </c>
      <c r="C252" s="12">
        <f t="shared" ref="C252:D252" si="282">C251</f>
        <v>0.55000000000000004</v>
      </c>
      <c r="D252" s="12">
        <f t="shared" si="282"/>
        <v>1.4E-2</v>
      </c>
      <c r="E252" s="13">
        <f t="shared" si="255"/>
        <v>8.1028404506727283E-2</v>
      </c>
      <c r="F252" s="13">
        <f t="shared" si="256"/>
        <v>35.077986447741928</v>
      </c>
      <c r="G252" s="13">
        <f t="shared" si="257"/>
        <v>9.5028404506727282E-2</v>
      </c>
      <c r="H252" s="13">
        <f t="shared" si="258"/>
        <v>34.979424446179252</v>
      </c>
      <c r="I252" s="13">
        <f t="shared" si="259"/>
        <v>0.14732437183041319</v>
      </c>
      <c r="J252" s="14">
        <f t="shared" si="223"/>
        <v>0.10585802978523288</v>
      </c>
    </row>
    <row r="253" spans="1:10" ht="16.5" x14ac:dyDescent="0.35">
      <c r="A253" s="10">
        <f t="shared" si="219"/>
        <v>252</v>
      </c>
      <c r="B253" s="1">
        <v>35.0625</v>
      </c>
      <c r="C253" s="12">
        <f t="shared" ref="C253:D253" si="283">C252</f>
        <v>0.55000000000000004</v>
      </c>
      <c r="D253" s="12">
        <f t="shared" si="283"/>
        <v>1.4E-2</v>
      </c>
      <c r="E253" s="13">
        <f t="shared" si="255"/>
        <v>8.1028404506727283E-2</v>
      </c>
      <c r="F253" s="13">
        <f t="shared" si="256"/>
        <v>35.075704916556461</v>
      </c>
      <c r="G253" s="13">
        <f t="shared" si="257"/>
        <v>9.5028404506727282E-2</v>
      </c>
      <c r="H253" s="13">
        <f t="shared" si="258"/>
        <v>35.077986447741928</v>
      </c>
      <c r="I253" s="13">
        <f t="shared" si="259"/>
        <v>0.14732437183041319</v>
      </c>
      <c r="J253" s="14">
        <f t="shared" si="223"/>
        <v>9.850110107429004E-2</v>
      </c>
    </row>
    <row r="254" spans="1:10" ht="16.5" x14ac:dyDescent="0.35">
      <c r="A254" s="10">
        <f t="shared" si="219"/>
        <v>253</v>
      </c>
      <c r="B254" s="1">
        <v>35.355468999999999</v>
      </c>
      <c r="C254" s="12">
        <f t="shared" ref="C254:D254" si="284">C253</f>
        <v>0.55000000000000004</v>
      </c>
      <c r="D254" s="12">
        <f t="shared" si="284"/>
        <v>1.4E-2</v>
      </c>
      <c r="E254" s="13">
        <f t="shared" si="255"/>
        <v>8.1028404506727283E-2</v>
      </c>
      <c r="F254" s="13">
        <f t="shared" si="256"/>
        <v>35.116920984410491</v>
      </c>
      <c r="G254" s="13">
        <f t="shared" si="257"/>
        <v>9.5028404506727282E-2</v>
      </c>
      <c r="H254" s="13">
        <f t="shared" si="258"/>
        <v>35.075704916556461</v>
      </c>
      <c r="I254" s="13">
        <f t="shared" si="259"/>
        <v>0.14732437183041319</v>
      </c>
      <c r="J254" s="14">
        <f t="shared" si="223"/>
        <v>9.1144172363347251E-2</v>
      </c>
    </row>
    <row r="255" spans="1:10" ht="16.5" x14ac:dyDescent="0.35">
      <c r="A255" s="10">
        <f t="shared" si="219"/>
        <v>254</v>
      </c>
      <c r="B255" s="1">
        <v>35.355468999999999</v>
      </c>
      <c r="C255" s="12">
        <f t="shared" ref="C255:D255" si="285">C254</f>
        <v>0.55000000000000004</v>
      </c>
      <c r="D255" s="12">
        <f t="shared" si="285"/>
        <v>1.4E-2</v>
      </c>
      <c r="E255" s="13">
        <f t="shared" si="255"/>
        <v>8.1028404506727283E-2</v>
      </c>
      <c r="F255" s="13">
        <f t="shared" si="256"/>
        <v>35.152064920958608</v>
      </c>
      <c r="G255" s="13">
        <f t="shared" si="257"/>
        <v>9.5028404506727282E-2</v>
      </c>
      <c r="H255" s="13">
        <f t="shared" si="258"/>
        <v>35.116920984410491</v>
      </c>
      <c r="I255" s="13">
        <f t="shared" si="259"/>
        <v>0.14732437183041319</v>
      </c>
      <c r="J255" s="14">
        <f t="shared" si="223"/>
        <v>9.1144172363347251E-2</v>
      </c>
    </row>
    <row r="256" spans="1:10" ht="16.5" x14ac:dyDescent="0.35">
      <c r="A256" s="10">
        <f t="shared" si="219"/>
        <v>255</v>
      </c>
      <c r="B256" s="1">
        <v>34.769531000000001</v>
      </c>
      <c r="C256" s="12">
        <f t="shared" ref="C256:D256" si="286">C255</f>
        <v>0.55000000000000004</v>
      </c>
      <c r="D256" s="12">
        <f t="shared" si="286"/>
        <v>1.4E-2</v>
      </c>
      <c r="E256" s="13">
        <f t="shared" si="255"/>
        <v>8.1028404506727283E-2</v>
      </c>
      <c r="F256" s="13">
        <f t="shared" si="256"/>
        <v>35.095708351349558</v>
      </c>
      <c r="G256" s="13">
        <f t="shared" si="257"/>
        <v>9.5028404506727282E-2</v>
      </c>
      <c r="H256" s="13">
        <f t="shared" si="258"/>
        <v>35.152064920958608</v>
      </c>
      <c r="I256" s="13">
        <f t="shared" si="259"/>
        <v>0.14732437183041319</v>
      </c>
      <c r="J256" s="14">
        <f t="shared" si="223"/>
        <v>8.133493408209011E-2</v>
      </c>
    </row>
    <row r="257" spans="1:10" ht="16.5" x14ac:dyDescent="0.35">
      <c r="A257" s="10">
        <f t="shared" si="219"/>
        <v>256</v>
      </c>
      <c r="B257" s="1">
        <v>34.769531000000001</v>
      </c>
      <c r="C257" s="12">
        <f t="shared" ref="C257:D257" si="287">C256</f>
        <v>0.55000000000000004</v>
      </c>
      <c r="D257" s="12">
        <f t="shared" si="287"/>
        <v>1.4E-2</v>
      </c>
      <c r="E257" s="13">
        <f t="shared" si="255"/>
        <v>8.1028404506727283E-2</v>
      </c>
      <c r="F257" s="13">
        <f t="shared" si="256"/>
        <v>35.047654477956677</v>
      </c>
      <c r="G257" s="13">
        <f t="shared" si="257"/>
        <v>9.5028404506727282E-2</v>
      </c>
      <c r="H257" s="13">
        <f t="shared" si="258"/>
        <v>35.095708351349558</v>
      </c>
      <c r="I257" s="13">
        <f t="shared" si="259"/>
        <v>0.14732437183041319</v>
      </c>
      <c r="J257" s="14">
        <f t="shared" si="223"/>
        <v>9.1144172363347223E-2</v>
      </c>
    </row>
    <row r="258" spans="1:10" ht="16.5" x14ac:dyDescent="0.35">
      <c r="A258" s="10">
        <f t="shared" si="219"/>
        <v>257</v>
      </c>
      <c r="B258" s="1">
        <v>34.769531000000001</v>
      </c>
      <c r="C258" s="12">
        <f t="shared" ref="C258:D258" si="288">C257</f>
        <v>0.55000000000000004</v>
      </c>
      <c r="D258" s="12">
        <f t="shared" si="288"/>
        <v>1.4E-2</v>
      </c>
      <c r="E258" s="13">
        <f t="shared" si="255"/>
        <v>8.1028404506727283E-2</v>
      </c>
      <c r="F258" s="13">
        <f t="shared" si="256"/>
        <v>35.006680111275422</v>
      </c>
      <c r="G258" s="13">
        <f t="shared" si="257"/>
        <v>9.5028404506727282E-2</v>
      </c>
      <c r="H258" s="13">
        <f t="shared" si="258"/>
        <v>35.047654477956677</v>
      </c>
      <c r="I258" s="13">
        <f t="shared" si="259"/>
        <v>0.14732437183041319</v>
      </c>
      <c r="J258" s="14">
        <f t="shared" si="223"/>
        <v>9.1144172363347223E-2</v>
      </c>
    </row>
    <row r="259" spans="1:10" ht="16.5" x14ac:dyDescent="0.35">
      <c r="A259" s="10">
        <f t="shared" si="219"/>
        <v>258</v>
      </c>
      <c r="B259" s="1">
        <v>35.355468999999999</v>
      </c>
      <c r="C259" s="12">
        <f t="shared" ref="C259:D259" si="289">C258</f>
        <v>0.55000000000000004</v>
      </c>
      <c r="D259" s="12">
        <f t="shared" si="289"/>
        <v>1.4E-2</v>
      </c>
      <c r="E259" s="13">
        <f t="shared" si="255"/>
        <v>8.1028404506727283E-2</v>
      </c>
      <c r="F259" s="13">
        <f t="shared" si="256"/>
        <v>35.058065215208195</v>
      </c>
      <c r="G259" s="13">
        <f t="shared" si="257"/>
        <v>9.5028404506727282E-2</v>
      </c>
      <c r="H259" s="13">
        <f t="shared" si="258"/>
        <v>35.006680111275422</v>
      </c>
      <c r="I259" s="13">
        <f t="shared" si="259"/>
        <v>0.14732437183041319</v>
      </c>
      <c r="J259" s="14">
        <f t="shared" si="223"/>
        <v>9.9727255859447209E-2</v>
      </c>
    </row>
    <row r="260" spans="1:10" ht="16.5" x14ac:dyDescent="0.35">
      <c r="A260" s="10">
        <f t="shared" ref="A260:A281" si="290">A259+1</f>
        <v>259</v>
      </c>
      <c r="B260" s="1">
        <v>35.0625</v>
      </c>
      <c r="C260" s="12">
        <f t="shared" ref="C260:D260" si="291">C259</f>
        <v>0.55000000000000004</v>
      </c>
      <c r="D260" s="12">
        <f t="shared" si="291"/>
        <v>1.4E-2</v>
      </c>
      <c r="E260" s="13">
        <f t="shared" si="255"/>
        <v>8.1028404506727283E-2</v>
      </c>
      <c r="F260" s="13">
        <f t="shared" si="256"/>
        <v>35.058718567091852</v>
      </c>
      <c r="G260" s="13">
        <f t="shared" si="257"/>
        <v>9.5028404506727282E-2</v>
      </c>
      <c r="H260" s="13">
        <f t="shared" si="258"/>
        <v>35.058065215208195</v>
      </c>
      <c r="I260" s="13">
        <f t="shared" si="259"/>
        <v>0.14732437183041319</v>
      </c>
      <c r="J260" s="14">
        <f t="shared" si="223"/>
        <v>9.7274946289132885E-2</v>
      </c>
    </row>
    <row r="261" spans="1:10" ht="16.5" x14ac:dyDescent="0.35">
      <c r="A261" s="10">
        <f t="shared" si="290"/>
        <v>260</v>
      </c>
      <c r="B261" s="1">
        <v>35.355468999999999</v>
      </c>
      <c r="C261" s="12">
        <f t="shared" ref="C261:D261" si="292">C260</f>
        <v>0.55000000000000004</v>
      </c>
      <c r="D261" s="12">
        <f t="shared" si="292"/>
        <v>1.4E-2</v>
      </c>
      <c r="E261" s="13">
        <f t="shared" si="255"/>
        <v>8.1028404506727283E-2</v>
      </c>
      <c r="F261" s="13">
        <f t="shared" si="256"/>
        <v>35.102437138210448</v>
      </c>
      <c r="G261" s="13">
        <f t="shared" si="257"/>
        <v>9.5028404506727282E-2</v>
      </c>
      <c r="H261" s="13">
        <f t="shared" si="258"/>
        <v>35.058718567091852</v>
      </c>
      <c r="I261" s="13">
        <f t="shared" si="259"/>
        <v>0.14732437183041319</v>
      </c>
      <c r="J261" s="14">
        <f t="shared" si="223"/>
        <v>8.7056989746156804E-2</v>
      </c>
    </row>
    <row r="262" spans="1:10" ht="16.5" x14ac:dyDescent="0.35">
      <c r="A262" s="10">
        <f t="shared" si="290"/>
        <v>261</v>
      </c>
      <c r="B262" s="1">
        <v>34.769531000000001</v>
      </c>
      <c r="C262" s="12">
        <f t="shared" ref="C262:D262" si="293">C261</f>
        <v>0.55000000000000004</v>
      </c>
      <c r="D262" s="12">
        <f t="shared" si="293"/>
        <v>1.4E-2</v>
      </c>
      <c r="E262" s="13">
        <f t="shared" si="255"/>
        <v>8.1028404506727283E-2</v>
      </c>
      <c r="F262" s="13">
        <f t="shared" si="256"/>
        <v>35.053391950520108</v>
      </c>
      <c r="G262" s="13">
        <f t="shared" si="257"/>
        <v>9.5028404506727282E-2</v>
      </c>
      <c r="H262" s="13">
        <f t="shared" si="258"/>
        <v>35.102437138210448</v>
      </c>
      <c r="I262" s="13">
        <f t="shared" si="259"/>
        <v>0.14732437183041319</v>
      </c>
      <c r="J262" s="14">
        <f t="shared" ref="J262:J281" si="294">_xlfn.VAR.S(B259:B279)</f>
        <v>7.6430314941461575E-2</v>
      </c>
    </row>
    <row r="263" spans="1:10" ht="16.5" x14ac:dyDescent="0.35">
      <c r="A263" s="10">
        <f t="shared" si="290"/>
        <v>262</v>
      </c>
      <c r="B263" s="1">
        <v>35.0625</v>
      </c>
      <c r="C263" s="12">
        <f t="shared" ref="C263:D263" si="295">C262</f>
        <v>0.55000000000000004</v>
      </c>
      <c r="D263" s="12">
        <f t="shared" si="295"/>
        <v>1.4E-2</v>
      </c>
      <c r="E263" s="13">
        <f t="shared" si="255"/>
        <v>8.1028404506727283E-2</v>
      </c>
      <c r="F263" s="13">
        <f t="shared" si="256"/>
        <v>35.054733788188337</v>
      </c>
      <c r="G263" s="13">
        <f t="shared" si="257"/>
        <v>9.5028404506727282E-2</v>
      </c>
      <c r="H263" s="13">
        <f t="shared" si="258"/>
        <v>35.053391950520108</v>
      </c>
      <c r="I263" s="13">
        <f t="shared" si="259"/>
        <v>0.14732437183041319</v>
      </c>
      <c r="J263" s="14">
        <f t="shared" si="294"/>
        <v>7.8473906250056832E-2</v>
      </c>
    </row>
    <row r="264" spans="1:10" ht="16.5" x14ac:dyDescent="0.35">
      <c r="A264" s="10">
        <f t="shared" si="290"/>
        <v>263</v>
      </c>
      <c r="B264" s="1">
        <v>35.0625</v>
      </c>
      <c r="C264" s="12">
        <f t="shared" ref="C264:D264" si="296">C263</f>
        <v>0.55000000000000004</v>
      </c>
      <c r="D264" s="12">
        <f t="shared" si="296"/>
        <v>1.4E-2</v>
      </c>
      <c r="E264" s="13">
        <f t="shared" si="255"/>
        <v>8.1028404506727283E-2</v>
      </c>
      <c r="F264" s="13">
        <f t="shared" si="256"/>
        <v>35.055877940464988</v>
      </c>
      <c r="G264" s="13">
        <f t="shared" si="257"/>
        <v>9.5028404506727282E-2</v>
      </c>
      <c r="H264" s="13">
        <f t="shared" si="258"/>
        <v>35.054733788188337</v>
      </c>
      <c r="I264" s="13">
        <f t="shared" si="259"/>
        <v>0.14732437183041319</v>
      </c>
      <c r="J264" s="14">
        <f t="shared" si="294"/>
        <v>8.2561088867247251E-2</v>
      </c>
    </row>
    <row r="265" spans="1:10" ht="16.5" x14ac:dyDescent="0.35">
      <c r="A265" s="10">
        <f t="shared" si="290"/>
        <v>264</v>
      </c>
      <c r="B265" s="1">
        <v>35.0625</v>
      </c>
      <c r="C265" s="12">
        <f t="shared" ref="C265:D265" si="297">C264</f>
        <v>0.55000000000000004</v>
      </c>
      <c r="D265" s="12">
        <f t="shared" si="297"/>
        <v>1.4E-2</v>
      </c>
      <c r="E265" s="13">
        <f t="shared" si="255"/>
        <v>8.1028404506727283E-2</v>
      </c>
      <c r="F265" s="13">
        <f t="shared" si="256"/>
        <v>35.05685353122621</v>
      </c>
      <c r="G265" s="13">
        <f t="shared" si="257"/>
        <v>9.5028404506727282E-2</v>
      </c>
      <c r="H265" s="13">
        <f t="shared" si="258"/>
        <v>35.055877940464988</v>
      </c>
      <c r="I265" s="13">
        <f t="shared" si="259"/>
        <v>0.14732437183041319</v>
      </c>
      <c r="J265" s="14">
        <f t="shared" si="294"/>
        <v>8.828314453131389E-2</v>
      </c>
    </row>
    <row r="266" spans="1:10" ht="16.5" x14ac:dyDescent="0.35">
      <c r="A266" s="10">
        <f t="shared" si="290"/>
        <v>265</v>
      </c>
      <c r="B266" s="1">
        <v>35.355468999999999</v>
      </c>
      <c r="C266" s="12">
        <f t="shared" ref="C266:D266" si="298">C265</f>
        <v>0.55000000000000004</v>
      </c>
      <c r="D266" s="12">
        <f t="shared" si="298"/>
        <v>1.4E-2</v>
      </c>
      <c r="E266" s="13">
        <f t="shared" si="255"/>
        <v>8.1028404506727283E-2</v>
      </c>
      <c r="F266" s="13">
        <f t="shared" si="256"/>
        <v>35.100846867582156</v>
      </c>
      <c r="G266" s="13">
        <f t="shared" si="257"/>
        <v>9.5028404506727282E-2</v>
      </c>
      <c r="H266" s="13">
        <f t="shared" si="258"/>
        <v>35.05685353122621</v>
      </c>
      <c r="I266" s="13">
        <f t="shared" si="259"/>
        <v>0.14732437183041319</v>
      </c>
      <c r="J266" s="14">
        <f t="shared" si="294"/>
        <v>7.7247751464899636E-2</v>
      </c>
    </row>
    <row r="267" spans="1:10" ht="16.5" x14ac:dyDescent="0.35">
      <c r="A267" s="10">
        <f t="shared" si="290"/>
        <v>266</v>
      </c>
      <c r="B267" s="1">
        <v>35.648437999999999</v>
      </c>
      <c r="C267" s="12">
        <f t="shared" ref="C267:D267" si="299">C266</f>
        <v>0.55000000000000004</v>
      </c>
      <c r="D267" s="12">
        <f t="shared" si="299"/>
        <v>1.4E-2</v>
      </c>
      <c r="E267" s="13">
        <f t="shared" si="255"/>
        <v>8.1028404506727283E-2</v>
      </c>
      <c r="F267" s="13">
        <f t="shared" si="256"/>
        <v>35.181520387185522</v>
      </c>
      <c r="G267" s="13">
        <f t="shared" si="257"/>
        <v>9.5028404506727282E-2</v>
      </c>
      <c r="H267" s="13">
        <f t="shared" si="258"/>
        <v>35.100846867582156</v>
      </c>
      <c r="I267" s="13">
        <f t="shared" si="259"/>
        <v>0.14732437183041319</v>
      </c>
      <c r="J267" s="14">
        <f t="shared" si="294"/>
        <v>7.275185058599018E-2</v>
      </c>
    </row>
    <row r="268" spans="1:10" ht="16.5" x14ac:dyDescent="0.35">
      <c r="A268" s="10">
        <f t="shared" si="290"/>
        <v>267</v>
      </c>
      <c r="B268" s="1">
        <v>35.648437999999999</v>
      </c>
      <c r="C268" s="12">
        <f t="shared" ref="C268:D268" si="300">C267</f>
        <v>0.55000000000000004</v>
      </c>
      <c r="D268" s="12">
        <f t="shared" si="300"/>
        <v>1.4E-2</v>
      </c>
      <c r="E268" s="13">
        <f t="shared" si="255"/>
        <v>8.1028404506727283E-2</v>
      </c>
      <c r="F268" s="13">
        <f t="shared" si="256"/>
        <v>35.250308731189968</v>
      </c>
      <c r="G268" s="13">
        <f t="shared" si="257"/>
        <v>9.5028404506727282E-2</v>
      </c>
      <c r="H268" s="13">
        <f t="shared" si="258"/>
        <v>35.181520387185522</v>
      </c>
      <c r="I268" s="13">
        <f t="shared" si="259"/>
        <v>0.14732437183041319</v>
      </c>
      <c r="J268" s="14">
        <f t="shared" si="294"/>
        <v>6.7847231445361617E-2</v>
      </c>
    </row>
    <row r="269" spans="1:10" ht="16.5" x14ac:dyDescent="0.35">
      <c r="A269" s="10">
        <f t="shared" si="290"/>
        <v>268</v>
      </c>
      <c r="B269" s="1">
        <v>35.648437999999999</v>
      </c>
      <c r="C269" s="12">
        <f t="shared" ref="C269:D269" si="301">C268</f>
        <v>0.55000000000000004</v>
      </c>
      <c r="D269" s="12">
        <f t="shared" si="301"/>
        <v>1.4E-2</v>
      </c>
      <c r="E269" s="13">
        <f t="shared" si="255"/>
        <v>8.1028404506727283E-2</v>
      </c>
      <c r="F269" s="13">
        <f t="shared" si="256"/>
        <v>35.308962875624708</v>
      </c>
      <c r="G269" s="13">
        <f t="shared" si="257"/>
        <v>9.5028404506727282E-2</v>
      </c>
      <c r="H269" s="13">
        <f t="shared" si="258"/>
        <v>35.250308731189968</v>
      </c>
      <c r="I269" s="13">
        <f t="shared" si="259"/>
        <v>0.14732437183041319</v>
      </c>
      <c r="J269" s="14">
        <f t="shared" si="294"/>
        <v>6.7847231445361617E-2</v>
      </c>
    </row>
    <row r="270" spans="1:10" ht="16.5" x14ac:dyDescent="0.35">
      <c r="A270" s="10">
        <f t="shared" si="290"/>
        <v>269</v>
      </c>
      <c r="B270" s="1">
        <v>35.0625</v>
      </c>
      <c r="C270" s="12">
        <f t="shared" ref="C270:D270" si="302">C269</f>
        <v>0.55000000000000004</v>
      </c>
      <c r="D270" s="12">
        <f t="shared" si="302"/>
        <v>1.4E-2</v>
      </c>
      <c r="E270" s="13">
        <f t="shared" si="255"/>
        <v>8.1028404506727283E-2</v>
      </c>
      <c r="F270" s="13">
        <f t="shared" si="256"/>
        <v>35.272652887293781</v>
      </c>
      <c r="G270" s="13">
        <f t="shared" si="257"/>
        <v>9.5028404506727282E-2</v>
      </c>
      <c r="H270" s="13">
        <f t="shared" si="258"/>
        <v>35.308962875624708</v>
      </c>
      <c r="I270" s="13">
        <f t="shared" si="259"/>
        <v>0.14732437183041319</v>
      </c>
      <c r="J270" s="14">
        <f t="shared" si="294"/>
        <v>6.7847231445361617E-2</v>
      </c>
    </row>
    <row r="271" spans="1:10" ht="16.5" x14ac:dyDescent="0.35">
      <c r="A271" s="10">
        <f t="shared" si="290"/>
        <v>270</v>
      </c>
      <c r="B271" s="1">
        <v>35.355468999999999</v>
      </c>
      <c r="C271" s="12">
        <f t="shared" ref="C271:D271" si="303">C270</f>
        <v>0.55000000000000004</v>
      </c>
      <c r="D271" s="12">
        <f t="shared" si="303"/>
        <v>1.4E-2</v>
      </c>
      <c r="E271" s="13">
        <f t="shared" si="255"/>
        <v>8.1028404506727283E-2</v>
      </c>
      <c r="F271" s="13">
        <f t="shared" si="256"/>
        <v>35.284853719075663</v>
      </c>
      <c r="G271" s="13">
        <f t="shared" si="257"/>
        <v>9.5028404506727282E-2</v>
      </c>
      <c r="H271" s="13">
        <f t="shared" si="258"/>
        <v>35.272652887293781</v>
      </c>
      <c r="I271" s="13">
        <f t="shared" si="259"/>
        <v>0.14732437183041319</v>
      </c>
      <c r="J271" s="14">
        <f t="shared" si="294"/>
        <v>6.4168767089890194E-2</v>
      </c>
    </row>
    <row r="272" spans="1:10" ht="16.5" x14ac:dyDescent="0.35">
      <c r="A272" s="10">
        <f t="shared" si="290"/>
        <v>271</v>
      </c>
      <c r="B272" s="1">
        <v>35.0625</v>
      </c>
      <c r="C272" s="12">
        <f t="shared" ref="C272:D272" si="304">C271</f>
        <v>0.55000000000000004</v>
      </c>
      <c r="D272" s="12">
        <f t="shared" si="304"/>
        <v>1.4E-2</v>
      </c>
      <c r="E272" s="13">
        <f t="shared" si="255"/>
        <v>8.1028404506727283E-2</v>
      </c>
      <c r="F272" s="13">
        <f t="shared" si="256"/>
        <v>35.252095597088683</v>
      </c>
      <c r="G272" s="13">
        <f t="shared" si="257"/>
        <v>9.5028404506727282E-2</v>
      </c>
      <c r="H272" s="13">
        <f t="shared" si="258"/>
        <v>35.284853719075663</v>
      </c>
      <c r="I272" s="13">
        <f t="shared" si="259"/>
        <v>0.14732437183041319</v>
      </c>
      <c r="J272" s="14">
        <f t="shared" si="294"/>
        <v>6.4168767089890208E-2</v>
      </c>
    </row>
    <row r="273" spans="1:10" ht="16.5" x14ac:dyDescent="0.35">
      <c r="A273" s="10">
        <f t="shared" si="290"/>
        <v>272</v>
      </c>
      <c r="B273" s="1">
        <v>35.0625</v>
      </c>
      <c r="C273" s="12">
        <f t="shared" ref="C273:D273" si="305">C272</f>
        <v>0.55000000000000004</v>
      </c>
      <c r="D273" s="12">
        <f t="shared" si="305"/>
        <v>1.4E-2</v>
      </c>
      <c r="E273" s="13">
        <f t="shared" si="255"/>
        <v>8.1028404506727283E-2</v>
      </c>
      <c r="F273" s="13">
        <f t="shared" si="256"/>
        <v>35.22416354484578</v>
      </c>
      <c r="G273" s="13">
        <f t="shared" si="257"/>
        <v>9.5028404506727282E-2</v>
      </c>
      <c r="H273" s="13">
        <f t="shared" si="258"/>
        <v>35.252095597088683</v>
      </c>
      <c r="I273" s="13">
        <f t="shared" si="259"/>
        <v>0.14732437183041319</v>
      </c>
      <c r="J273" s="14">
        <f t="shared" si="294"/>
        <v>6.0081584472699748E-2</v>
      </c>
    </row>
    <row r="274" spans="1:10" ht="16.5" x14ac:dyDescent="0.35">
      <c r="A274" s="10">
        <f t="shared" si="290"/>
        <v>273</v>
      </c>
      <c r="B274" s="1">
        <v>35.648437999999999</v>
      </c>
      <c r="C274" s="12">
        <f t="shared" ref="C274:D274" si="306">C273</f>
        <v>0.55000000000000004</v>
      </c>
      <c r="D274" s="12">
        <f t="shared" si="306"/>
        <v>1.4E-2</v>
      </c>
      <c r="E274" s="13">
        <f t="shared" si="255"/>
        <v>8.1028404506727283E-2</v>
      </c>
      <c r="F274" s="13">
        <f t="shared" si="256"/>
        <v>35.286669512435068</v>
      </c>
      <c r="G274" s="13">
        <f t="shared" si="257"/>
        <v>9.5028404506727282E-2</v>
      </c>
      <c r="H274" s="13">
        <f t="shared" si="258"/>
        <v>35.22416354484578</v>
      </c>
      <c r="I274" s="13">
        <f t="shared" si="259"/>
        <v>0.14732437183041319</v>
      </c>
      <c r="J274" s="14">
        <f t="shared" si="294"/>
        <v>5.5585683593790222E-2</v>
      </c>
    </row>
    <row r="275" spans="1:10" ht="16.5" x14ac:dyDescent="0.35">
      <c r="A275" s="10">
        <f t="shared" si="290"/>
        <v>274</v>
      </c>
      <c r="B275" s="1">
        <v>35.355468999999999</v>
      </c>
      <c r="C275" s="12">
        <f t="shared" ref="C275:D275" si="307">C274</f>
        <v>0.55000000000000004</v>
      </c>
      <c r="D275" s="12">
        <f t="shared" si="307"/>
        <v>1.4E-2</v>
      </c>
      <c r="E275" s="13">
        <f t="shared" si="255"/>
        <v>8.1028404506727283E-2</v>
      </c>
      <c r="F275" s="13">
        <f t="shared" si="256"/>
        <v>35.296805353722824</v>
      </c>
      <c r="G275" s="13">
        <f t="shared" si="257"/>
        <v>9.5028404506727282E-2</v>
      </c>
      <c r="H275" s="13">
        <f t="shared" si="258"/>
        <v>35.286669512435068</v>
      </c>
      <c r="I275" s="13">
        <f t="shared" si="259"/>
        <v>0.14732437183041319</v>
      </c>
      <c r="J275" s="14">
        <f t="shared" si="294"/>
        <v>5.9264147949261645E-2</v>
      </c>
    </row>
    <row r="276" spans="1:10" ht="16.5" x14ac:dyDescent="0.35">
      <c r="A276" s="10">
        <f t="shared" si="290"/>
        <v>275</v>
      </c>
      <c r="B276" s="1">
        <v>35.648437999999999</v>
      </c>
      <c r="C276" s="12">
        <f t="shared" ref="C276:D276" si="308">C275</f>
        <v>0.55000000000000004</v>
      </c>
      <c r="D276" s="12">
        <f t="shared" si="308"/>
        <v>1.4E-2</v>
      </c>
      <c r="E276" s="13">
        <f t="shared" si="255"/>
        <v>8.1028404506727283E-2</v>
      </c>
      <c r="F276" s="13">
        <f t="shared" si="256"/>
        <v>35.348609412450678</v>
      </c>
      <c r="G276" s="13">
        <f t="shared" si="257"/>
        <v>9.5028404506727282E-2</v>
      </c>
      <c r="H276" s="13">
        <f t="shared" si="258"/>
        <v>35.296805353722824</v>
      </c>
      <c r="I276" s="13">
        <f t="shared" si="259"/>
        <v>0.14732437183041319</v>
      </c>
      <c r="J276" s="14">
        <f t="shared" si="294"/>
        <v>5.3950810546914064E-2</v>
      </c>
    </row>
    <row r="277" spans="1:10" ht="16.5" x14ac:dyDescent="0.35">
      <c r="A277" s="10">
        <f t="shared" si="290"/>
        <v>276</v>
      </c>
      <c r="B277" s="1">
        <v>35.648437999999999</v>
      </c>
      <c r="C277" s="12">
        <f t="shared" ref="C277:D277" si="309">C276</f>
        <v>0.55000000000000004</v>
      </c>
      <c r="D277" s="12">
        <f t="shared" si="309"/>
        <v>1.4E-2</v>
      </c>
      <c r="E277" s="13">
        <f t="shared" si="255"/>
        <v>8.1028404506727283E-2</v>
      </c>
      <c r="F277" s="13">
        <f t="shared" si="256"/>
        <v>35.392781470768185</v>
      </c>
      <c r="G277" s="13">
        <f t="shared" si="257"/>
        <v>9.5028404506727282E-2</v>
      </c>
      <c r="H277" s="13">
        <f t="shared" si="258"/>
        <v>35.348609412450678</v>
      </c>
      <c r="I277" s="13">
        <f t="shared" si="259"/>
        <v>0.14732437183041319</v>
      </c>
      <c r="J277" s="14">
        <f t="shared" si="294"/>
        <v>5.0681064453161687E-2</v>
      </c>
    </row>
    <row r="278" spans="1:10" ht="16.5" x14ac:dyDescent="0.35">
      <c r="A278" s="10">
        <f t="shared" si="290"/>
        <v>277</v>
      </c>
      <c r="B278" s="1">
        <v>35.0625</v>
      </c>
      <c r="C278" s="12">
        <f t="shared" ref="C278:D278" si="310">C277</f>
        <v>0.55000000000000004</v>
      </c>
      <c r="D278" s="12">
        <f t="shared" si="310"/>
        <v>1.4E-2</v>
      </c>
      <c r="E278" s="13">
        <f t="shared" si="255"/>
        <v>8.1028404506727283E-2</v>
      </c>
      <c r="F278" s="13">
        <f t="shared" si="256"/>
        <v>35.344122960560036</v>
      </c>
      <c r="G278" s="13">
        <f t="shared" si="257"/>
        <v>9.5028404506727282E-2</v>
      </c>
      <c r="H278" s="13">
        <f t="shared" si="258"/>
        <v>35.392781470768185</v>
      </c>
      <c r="I278" s="13">
        <f t="shared" si="259"/>
        <v>0.14732437183041319</v>
      </c>
      <c r="J278" s="14">
        <f t="shared" si="294"/>
        <v>4.8228754882847426E-2</v>
      </c>
    </row>
    <row r="279" spans="1:10" ht="16.5" x14ac:dyDescent="0.35">
      <c r="A279" s="10">
        <f t="shared" si="290"/>
        <v>278</v>
      </c>
      <c r="B279" s="1">
        <v>35.0625</v>
      </c>
      <c r="C279" s="12">
        <f t="shared" ref="C279:D279" si="311">C278</f>
        <v>0.55000000000000004</v>
      </c>
      <c r="D279" s="12">
        <f t="shared" si="311"/>
        <v>1.4E-2</v>
      </c>
      <c r="E279" s="13">
        <f t="shared" si="255"/>
        <v>8.1028404506727283E-2</v>
      </c>
      <c r="F279" s="13">
        <f t="shared" si="256"/>
        <v>35.302633034802504</v>
      </c>
      <c r="G279" s="13">
        <f t="shared" si="257"/>
        <v>9.5028404506727282E-2</v>
      </c>
      <c r="H279" s="13">
        <f t="shared" si="258"/>
        <v>35.344122960560036</v>
      </c>
      <c r="I279" s="13">
        <f t="shared" si="259"/>
        <v>0.14732437183041319</v>
      </c>
      <c r="J279" s="14">
        <f t="shared" si="294"/>
        <v>6.1307689034647485E-2</v>
      </c>
    </row>
    <row r="280" spans="1:10" ht="16.5" x14ac:dyDescent="0.35">
      <c r="A280" s="10">
        <f t="shared" si="290"/>
        <v>279</v>
      </c>
      <c r="B280" s="1">
        <v>35.0625</v>
      </c>
      <c r="C280" s="12">
        <f t="shared" ref="C280:D280" si="312">C279</f>
        <v>0.55000000000000004</v>
      </c>
      <c r="D280" s="12">
        <f t="shared" si="312"/>
        <v>1.4E-2</v>
      </c>
      <c r="E280" s="13">
        <f t="shared" si="255"/>
        <v>8.1028404506727283E-2</v>
      </c>
      <c r="F280" s="13">
        <f t="shared" si="256"/>
        <v>35.267255586294496</v>
      </c>
      <c r="G280" s="13">
        <f t="shared" si="257"/>
        <v>9.5028404506727282E-2</v>
      </c>
      <c r="H280" s="13">
        <f t="shared" si="258"/>
        <v>35.302633034802504</v>
      </c>
      <c r="I280" s="13">
        <f t="shared" si="259"/>
        <v>0.14732437183041319</v>
      </c>
      <c r="J280" s="14">
        <f t="shared" si="294"/>
        <v>5.9264096330961781E-2</v>
      </c>
    </row>
    <row r="281" spans="1:10" ht="16.5" x14ac:dyDescent="0.35">
      <c r="A281" s="10">
        <f t="shared" si="290"/>
        <v>280</v>
      </c>
      <c r="B281" s="1">
        <v>35.648437999999999</v>
      </c>
      <c r="C281" s="12">
        <f t="shared" ref="C281:D281" si="313">C280</f>
        <v>0.55000000000000004</v>
      </c>
      <c r="D281" s="12">
        <f t="shared" si="313"/>
        <v>1.4E-2</v>
      </c>
      <c r="E281" s="13">
        <f t="shared" si="255"/>
        <v>8.1028404506727283E-2</v>
      </c>
      <c r="F281" s="13">
        <f t="shared" si="256"/>
        <v>35.323413045946459</v>
      </c>
      <c r="G281" s="13">
        <f t="shared" si="257"/>
        <v>9.5028404506727282E-2</v>
      </c>
      <c r="H281" s="13">
        <f t="shared" si="258"/>
        <v>35.267255586294496</v>
      </c>
      <c r="I281" s="13">
        <f t="shared" si="259"/>
        <v>0.14732437183041319</v>
      </c>
      <c r="J281" s="14">
        <f t="shared" si="294"/>
        <v>5.6811785365557047E-2</v>
      </c>
    </row>
    <row r="282" spans="1:10" x14ac:dyDescent="0.35">
      <c r="B282" s="11">
        <v>35.648437999999999</v>
      </c>
    </row>
    <row r="283" spans="1:10" x14ac:dyDescent="0.35">
      <c r="B283" s="11">
        <v>35.648437999999999</v>
      </c>
    </row>
    <row r="284" spans="1:10" x14ac:dyDescent="0.35">
      <c r="B284" s="11">
        <v>35.355468999999999</v>
      </c>
    </row>
    <row r="285" spans="1:10" x14ac:dyDescent="0.35">
      <c r="B285" s="11">
        <v>35.355468999999999</v>
      </c>
    </row>
    <row r="286" spans="1:10" x14ac:dyDescent="0.35">
      <c r="B286" s="11">
        <v>35.0625</v>
      </c>
    </row>
    <row r="287" spans="1:10" x14ac:dyDescent="0.35">
      <c r="B287" s="11">
        <v>35.355468999999999</v>
      </c>
    </row>
    <row r="288" spans="1:10" x14ac:dyDescent="0.35">
      <c r="B288" s="11">
        <v>35.355468999999999</v>
      </c>
    </row>
    <row r="289" spans="2:2" x14ac:dyDescent="0.35">
      <c r="B289" s="11">
        <v>35.648437999999999</v>
      </c>
    </row>
    <row r="290" spans="2:2" x14ac:dyDescent="0.35">
      <c r="B290" s="11">
        <v>35.355468999999999</v>
      </c>
    </row>
    <row r="291" spans="2:2" x14ac:dyDescent="0.35">
      <c r="B291" s="11">
        <v>35.355468999999999</v>
      </c>
    </row>
    <row r="292" spans="2:2" x14ac:dyDescent="0.35">
      <c r="B292" s="11">
        <v>35.648437999999999</v>
      </c>
    </row>
    <row r="293" spans="2:2" x14ac:dyDescent="0.35">
      <c r="B293" s="11">
        <v>35.355468999999999</v>
      </c>
    </row>
    <row r="294" spans="2:2" x14ac:dyDescent="0.35">
      <c r="B294" s="11">
        <v>35.648437999999999</v>
      </c>
    </row>
    <row r="295" spans="2:2" x14ac:dyDescent="0.35">
      <c r="B295" s="11">
        <v>35.355468999999999</v>
      </c>
    </row>
    <row r="296" spans="2:2" x14ac:dyDescent="0.35">
      <c r="B296" s="11">
        <v>35.941406000000001</v>
      </c>
    </row>
    <row r="297" spans="2:2" x14ac:dyDescent="0.35">
      <c r="B297" s="11">
        <v>35.355468999999999</v>
      </c>
    </row>
    <row r="298" spans="2:2" x14ac:dyDescent="0.35">
      <c r="B298" s="11">
        <v>35.355468999999999</v>
      </c>
    </row>
    <row r="299" spans="2:2" x14ac:dyDescent="0.35">
      <c r="B299" s="11">
        <v>35.355468999999999</v>
      </c>
    </row>
    <row r="300" spans="2:2" x14ac:dyDescent="0.35">
      <c r="B300" s="11">
        <v>35.648437999999999</v>
      </c>
    </row>
    <row r="301" spans="2:2" x14ac:dyDescent="0.35">
      <c r="B301" s="11">
        <v>35.355468999999999</v>
      </c>
    </row>
    <row r="302" spans="2:2" x14ac:dyDescent="0.35">
      <c r="B302" s="11">
        <v>35.648437999999999</v>
      </c>
    </row>
    <row r="303" spans="2:2" x14ac:dyDescent="0.35">
      <c r="B303" s="11">
        <v>35.648437999999999</v>
      </c>
    </row>
    <row r="304" spans="2:2" x14ac:dyDescent="0.35">
      <c r="B304" s="11">
        <v>35.648437999999999</v>
      </c>
    </row>
    <row r="305" spans="2:2" x14ac:dyDescent="0.35">
      <c r="B305" s="11">
        <v>35.355468999999999</v>
      </c>
    </row>
    <row r="306" spans="2:2" x14ac:dyDescent="0.35">
      <c r="B306" s="11">
        <v>35.0625</v>
      </c>
    </row>
    <row r="307" spans="2:2" x14ac:dyDescent="0.35">
      <c r="B307" s="11">
        <v>35.355468999999999</v>
      </c>
    </row>
    <row r="308" spans="2:2" x14ac:dyDescent="0.35">
      <c r="B308" s="11">
        <v>35.355468999999999</v>
      </c>
    </row>
    <row r="309" spans="2:2" x14ac:dyDescent="0.35">
      <c r="B309" s="11">
        <v>35.941406000000001</v>
      </c>
    </row>
    <row r="310" spans="2:2" x14ac:dyDescent="0.35">
      <c r="B310" s="11">
        <v>35.648437999999999</v>
      </c>
    </row>
    <row r="311" spans="2:2" x14ac:dyDescent="0.35">
      <c r="B311" s="11">
        <v>35.648437999999999</v>
      </c>
    </row>
    <row r="312" spans="2:2" x14ac:dyDescent="0.35">
      <c r="B312" s="11">
        <v>35.941406000000001</v>
      </c>
    </row>
    <row r="313" spans="2:2" x14ac:dyDescent="0.35">
      <c r="B313" s="11">
        <v>35.355468999999999</v>
      </c>
    </row>
    <row r="314" spans="2:2" x14ac:dyDescent="0.35">
      <c r="B314" s="11">
        <v>35.941406000000001</v>
      </c>
    </row>
    <row r="315" spans="2:2" x14ac:dyDescent="0.35">
      <c r="B315" s="11">
        <v>35.941406000000001</v>
      </c>
    </row>
    <row r="316" spans="2:2" x14ac:dyDescent="0.35">
      <c r="B316" s="11">
        <v>35.355468999999999</v>
      </c>
    </row>
    <row r="317" spans="2:2" x14ac:dyDescent="0.35">
      <c r="B317" s="11">
        <v>35.648437999999999</v>
      </c>
    </row>
    <row r="318" spans="2:2" x14ac:dyDescent="0.35">
      <c r="B318" s="11">
        <v>35.941406000000001</v>
      </c>
    </row>
    <row r="319" spans="2:2" x14ac:dyDescent="0.35">
      <c r="B319" s="11">
        <v>35.941406000000001</v>
      </c>
    </row>
    <row r="320" spans="2:2" x14ac:dyDescent="0.35">
      <c r="B320" s="11">
        <v>35.648437999999999</v>
      </c>
    </row>
    <row r="321" spans="2:2" x14ac:dyDescent="0.35">
      <c r="B321" s="11">
        <v>35.648437999999999</v>
      </c>
    </row>
    <row r="322" spans="2:2" x14ac:dyDescent="0.35">
      <c r="B322" s="11">
        <v>35.941406000000001</v>
      </c>
    </row>
    <row r="323" spans="2:2" x14ac:dyDescent="0.35">
      <c r="B323" s="11">
        <v>36.234375</v>
      </c>
    </row>
    <row r="324" spans="2:2" x14ac:dyDescent="0.35">
      <c r="B324" s="11">
        <v>35.941406000000001</v>
      </c>
    </row>
    <row r="325" spans="2:2" x14ac:dyDescent="0.35">
      <c r="B325" s="11">
        <v>35.648437999999999</v>
      </c>
    </row>
    <row r="326" spans="2:2" x14ac:dyDescent="0.35">
      <c r="B326" s="11">
        <v>35.648437999999999</v>
      </c>
    </row>
    <row r="327" spans="2:2" x14ac:dyDescent="0.35">
      <c r="B327" s="11">
        <v>35.648437999999999</v>
      </c>
    </row>
    <row r="328" spans="2:2" x14ac:dyDescent="0.35">
      <c r="B328" s="11">
        <v>35.648437999999999</v>
      </c>
    </row>
    <row r="329" spans="2:2" x14ac:dyDescent="0.35">
      <c r="B329" s="11">
        <v>35.941406000000001</v>
      </c>
    </row>
    <row r="330" spans="2:2" x14ac:dyDescent="0.35">
      <c r="B330" s="11">
        <v>35.941406000000001</v>
      </c>
    </row>
    <row r="331" spans="2:2" x14ac:dyDescent="0.35">
      <c r="B331" s="11">
        <v>35.941406000000001</v>
      </c>
    </row>
    <row r="332" spans="2:2" x14ac:dyDescent="0.35">
      <c r="B332" s="11">
        <v>36.234375</v>
      </c>
    </row>
    <row r="333" spans="2:2" x14ac:dyDescent="0.35">
      <c r="B333" s="11">
        <v>35.941406000000001</v>
      </c>
    </row>
    <row r="334" spans="2:2" x14ac:dyDescent="0.35">
      <c r="B334" s="11">
        <v>35.941406000000001</v>
      </c>
    </row>
    <row r="335" spans="2:2" x14ac:dyDescent="0.35">
      <c r="B335" s="11">
        <v>35.941406000000001</v>
      </c>
    </row>
    <row r="336" spans="2:2" x14ac:dyDescent="0.35">
      <c r="B336" s="11">
        <v>35.941406000000001</v>
      </c>
    </row>
    <row r="337" spans="2:2" x14ac:dyDescent="0.35">
      <c r="B337" s="11">
        <v>35.941406000000001</v>
      </c>
    </row>
    <row r="338" spans="2:2" x14ac:dyDescent="0.35">
      <c r="B338" s="11">
        <v>35.941406000000001</v>
      </c>
    </row>
    <row r="339" spans="2:2" x14ac:dyDescent="0.35">
      <c r="B339" s="11">
        <v>36.527343999999999</v>
      </c>
    </row>
    <row r="340" spans="2:2" x14ac:dyDescent="0.35">
      <c r="B340" s="11">
        <v>36.234375</v>
      </c>
    </row>
    <row r="341" spans="2:2" x14ac:dyDescent="0.35">
      <c r="B341" s="11">
        <v>35.355468999999999</v>
      </c>
    </row>
    <row r="342" spans="2:2" x14ac:dyDescent="0.35">
      <c r="B342" s="11">
        <v>36.234375</v>
      </c>
    </row>
    <row r="343" spans="2:2" x14ac:dyDescent="0.35">
      <c r="B343" s="11">
        <v>35.941406000000001</v>
      </c>
    </row>
    <row r="344" spans="2:2" x14ac:dyDescent="0.35">
      <c r="B344" s="11">
        <v>35.648437999999999</v>
      </c>
    </row>
    <row r="345" spans="2:2" x14ac:dyDescent="0.35">
      <c r="B345" s="11">
        <v>36.234375</v>
      </c>
    </row>
    <row r="346" spans="2:2" x14ac:dyDescent="0.35">
      <c r="B346" s="11">
        <v>36.234375</v>
      </c>
    </row>
    <row r="347" spans="2:2" x14ac:dyDescent="0.35">
      <c r="B347" s="11">
        <v>36.234375</v>
      </c>
    </row>
    <row r="348" spans="2:2" x14ac:dyDescent="0.35">
      <c r="B348" s="11">
        <v>35.941406000000001</v>
      </c>
    </row>
    <row r="349" spans="2:2" x14ac:dyDescent="0.35">
      <c r="B349" s="11">
        <v>35.941406000000001</v>
      </c>
    </row>
    <row r="350" spans="2:2" x14ac:dyDescent="0.35">
      <c r="B350" s="11">
        <v>35.648437999999999</v>
      </c>
    </row>
    <row r="351" spans="2:2" x14ac:dyDescent="0.35">
      <c r="B351" s="11">
        <v>35.941406000000001</v>
      </c>
    </row>
    <row r="352" spans="2:2" x14ac:dyDescent="0.35">
      <c r="B352" s="11">
        <v>35.941406000000001</v>
      </c>
    </row>
    <row r="353" spans="2:2" x14ac:dyDescent="0.35">
      <c r="B353" s="11">
        <v>35.941406000000001</v>
      </c>
    </row>
    <row r="354" spans="2:2" x14ac:dyDescent="0.35">
      <c r="B354" s="11">
        <v>35.648437999999999</v>
      </c>
    </row>
    <row r="355" spans="2:2" x14ac:dyDescent="0.35">
      <c r="B355" s="11">
        <v>35.941406000000001</v>
      </c>
    </row>
    <row r="356" spans="2:2" x14ac:dyDescent="0.35">
      <c r="B356" s="11">
        <v>35.648437999999999</v>
      </c>
    </row>
    <row r="357" spans="2:2" x14ac:dyDescent="0.35">
      <c r="B357" s="11">
        <v>35.941406000000001</v>
      </c>
    </row>
    <row r="358" spans="2:2" x14ac:dyDescent="0.35">
      <c r="B358" s="11">
        <v>35.941406000000001</v>
      </c>
    </row>
    <row r="359" spans="2:2" x14ac:dyDescent="0.35">
      <c r="B359" s="11">
        <v>35.648437999999999</v>
      </c>
    </row>
    <row r="360" spans="2:2" x14ac:dyDescent="0.35">
      <c r="B360" s="11">
        <v>35.941406000000001</v>
      </c>
    </row>
    <row r="361" spans="2:2" x14ac:dyDescent="0.35">
      <c r="B361" s="11">
        <v>35.941406000000001</v>
      </c>
    </row>
    <row r="362" spans="2:2" x14ac:dyDescent="0.35">
      <c r="B362" s="11">
        <v>35.941406000000001</v>
      </c>
    </row>
    <row r="363" spans="2:2" x14ac:dyDescent="0.35">
      <c r="B363" s="11">
        <v>35.941406000000001</v>
      </c>
    </row>
    <row r="364" spans="2:2" x14ac:dyDescent="0.35">
      <c r="B364" s="11">
        <v>36.527343999999999</v>
      </c>
    </row>
    <row r="365" spans="2:2" x14ac:dyDescent="0.35">
      <c r="B365" s="11">
        <v>35.941406000000001</v>
      </c>
    </row>
    <row r="366" spans="2:2" x14ac:dyDescent="0.35">
      <c r="B366" s="11">
        <v>36.234375</v>
      </c>
    </row>
    <row r="367" spans="2:2" x14ac:dyDescent="0.35">
      <c r="B367" s="11">
        <v>36.234375</v>
      </c>
    </row>
    <row r="368" spans="2:2" x14ac:dyDescent="0.35">
      <c r="B368" s="11">
        <v>36.234375</v>
      </c>
    </row>
    <row r="369" spans="2:2" x14ac:dyDescent="0.35">
      <c r="B369" s="11">
        <v>36.820312999999999</v>
      </c>
    </row>
    <row r="370" spans="2:2" x14ac:dyDescent="0.35">
      <c r="B370" s="11">
        <v>36.527343999999999</v>
      </c>
    </row>
    <row r="371" spans="2:2" x14ac:dyDescent="0.35">
      <c r="B371" s="11">
        <v>36.234375</v>
      </c>
    </row>
    <row r="372" spans="2:2" x14ac:dyDescent="0.35">
      <c r="B372" s="11">
        <v>36.234375</v>
      </c>
    </row>
    <row r="373" spans="2:2" x14ac:dyDescent="0.35">
      <c r="B373" s="11">
        <v>35.941406000000001</v>
      </c>
    </row>
    <row r="374" spans="2:2" x14ac:dyDescent="0.35">
      <c r="B374" s="11">
        <v>36.820312999999999</v>
      </c>
    </row>
    <row r="375" spans="2:2" x14ac:dyDescent="0.35">
      <c r="B375" s="11">
        <v>35.941406000000001</v>
      </c>
    </row>
    <row r="376" spans="2:2" x14ac:dyDescent="0.35">
      <c r="B376" s="11">
        <v>35.941406000000001</v>
      </c>
    </row>
    <row r="377" spans="2:2" x14ac:dyDescent="0.35">
      <c r="B377" s="11">
        <v>36.527343999999999</v>
      </c>
    </row>
    <row r="378" spans="2:2" x14ac:dyDescent="0.35">
      <c r="B378" s="11">
        <v>36.527343999999999</v>
      </c>
    </row>
    <row r="379" spans="2:2" x14ac:dyDescent="0.35">
      <c r="B379" s="11">
        <v>35.355468999999999</v>
      </c>
    </row>
    <row r="380" spans="2:2" x14ac:dyDescent="0.35">
      <c r="B380" s="11">
        <v>36.234375</v>
      </c>
    </row>
    <row r="381" spans="2:2" x14ac:dyDescent="0.35">
      <c r="B381" s="11">
        <v>35.941406000000001</v>
      </c>
    </row>
    <row r="382" spans="2:2" x14ac:dyDescent="0.35">
      <c r="B382" s="11">
        <v>36.234375</v>
      </c>
    </row>
    <row r="383" spans="2:2" x14ac:dyDescent="0.35">
      <c r="B383" s="11">
        <v>36.527343999999999</v>
      </c>
    </row>
    <row r="384" spans="2:2" x14ac:dyDescent="0.35">
      <c r="B384" s="11">
        <v>36.234375</v>
      </c>
    </row>
    <row r="385" spans="2:2" x14ac:dyDescent="0.35">
      <c r="B385" s="11">
        <v>36.527343999999999</v>
      </c>
    </row>
    <row r="386" spans="2:2" x14ac:dyDescent="0.35">
      <c r="B386" s="11">
        <v>36.527343999999999</v>
      </c>
    </row>
    <row r="387" spans="2:2" x14ac:dyDescent="0.35">
      <c r="B387" s="11">
        <v>35.941406000000001</v>
      </c>
    </row>
    <row r="388" spans="2:2" x14ac:dyDescent="0.35">
      <c r="B388" s="11">
        <v>36.820312999999999</v>
      </c>
    </row>
    <row r="389" spans="2:2" x14ac:dyDescent="0.35">
      <c r="B389" s="11">
        <v>36.820312999999999</v>
      </c>
    </row>
    <row r="390" spans="2:2" x14ac:dyDescent="0.35">
      <c r="B390" s="11">
        <v>35.941406000000001</v>
      </c>
    </row>
    <row r="391" spans="2:2" x14ac:dyDescent="0.35">
      <c r="B391" s="11">
        <v>36.234375</v>
      </c>
    </row>
    <row r="392" spans="2:2" x14ac:dyDescent="0.35">
      <c r="B392" s="11">
        <v>36.527343999999999</v>
      </c>
    </row>
    <row r="393" spans="2:2" x14ac:dyDescent="0.35">
      <c r="B393" s="11">
        <v>36.820312999999999</v>
      </c>
    </row>
    <row r="394" spans="2:2" x14ac:dyDescent="0.35">
      <c r="B394" s="11">
        <v>35.941406000000001</v>
      </c>
    </row>
    <row r="395" spans="2:2" x14ac:dyDescent="0.35">
      <c r="B395" s="11">
        <v>36.234375</v>
      </c>
    </row>
    <row r="396" spans="2:2" x14ac:dyDescent="0.35">
      <c r="B396" s="11">
        <v>35.941406000000001</v>
      </c>
    </row>
    <row r="397" spans="2:2" x14ac:dyDescent="0.35">
      <c r="B397" s="11">
        <v>35.941406000000001</v>
      </c>
    </row>
    <row r="398" spans="2:2" x14ac:dyDescent="0.35">
      <c r="B398" s="11">
        <v>35.941406000000001</v>
      </c>
    </row>
    <row r="399" spans="2:2" x14ac:dyDescent="0.35">
      <c r="B399" s="11">
        <v>35.941406000000001</v>
      </c>
    </row>
    <row r="400" spans="2:2" x14ac:dyDescent="0.35">
      <c r="B400" s="11">
        <v>35.941406000000001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" r:id="rId3" name="SpinButton1">
          <controlPr defaultSize="0" autoLine="0" r:id="rId4">
            <anchor moveWithCells="1">
              <from>
                <xdr:col>11</xdr:col>
                <xdr:colOff>9525</xdr:colOff>
                <xdr:row>1</xdr:row>
                <xdr:rowOff>47625</xdr:rowOff>
              </from>
              <to>
                <xdr:col>11</xdr:col>
                <xdr:colOff>190500</xdr:colOff>
                <xdr:row>3</xdr:row>
                <xdr:rowOff>171450</xdr:rowOff>
              </to>
            </anchor>
          </controlPr>
        </control>
      </mc:Choice>
      <mc:Fallback>
        <control shapeId="2052" r:id="rId3" name="SpinButton1"/>
      </mc:Fallback>
    </mc:AlternateContent>
    <mc:AlternateContent xmlns:mc="http://schemas.openxmlformats.org/markup-compatibility/2006">
      <mc:Choice Requires="x14">
        <control shapeId="2053" r:id="rId5" name="SpinButton2">
          <controlPr defaultSize="0" autoLine="0" r:id="rId4">
            <anchor moveWithCells="1">
              <from>
                <xdr:col>11</xdr:col>
                <xdr:colOff>9525</xdr:colOff>
                <xdr:row>4</xdr:row>
                <xdr:rowOff>38100</xdr:rowOff>
              </from>
              <to>
                <xdr:col>11</xdr:col>
                <xdr:colOff>190500</xdr:colOff>
                <xdr:row>6</xdr:row>
                <xdr:rowOff>171450</xdr:rowOff>
              </to>
            </anchor>
          </controlPr>
        </control>
      </mc:Choice>
      <mc:Fallback>
        <control shapeId="2053" r:id="rId5" name="Spin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Zaleski_John_3049080_0325201416</vt:lpstr>
      <vt:lpstr>KalmanFilter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jzaleski</dc:creator>
  <cp:lastModifiedBy>Aditya Saha</cp:lastModifiedBy>
  <dcterms:created xsi:type="dcterms:W3CDTF">2014-10-08T21:27:05Z</dcterms:created>
  <dcterms:modified xsi:type="dcterms:W3CDTF">2016-02-19T20:28:03Z</dcterms:modified>
</cp:coreProperties>
</file>